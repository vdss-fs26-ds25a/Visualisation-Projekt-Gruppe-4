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om\Documents\GitHub\Visualisation-Projekt-Gruppe-4\data_acquisition\Processed_Data\"/>
    </mc:Choice>
  </mc:AlternateContent>
  <xr:revisionPtr revIDLastSave="0" documentId="13_ncr:1_{9EE50C26-1974-4692-8AD0-8567B7633953}" xr6:coauthVersionLast="47" xr6:coauthVersionMax="47" xr10:uidLastSave="{00000000-0000-0000-0000-000000000000}"/>
  <bookViews>
    <workbookView xWindow="-108" yWindow="-108" windowWidth="23256" windowHeight="13896" xr2:uid="{88B69D42-649C-4B4F-B1D6-394789B9DAB4}"/>
  </bookViews>
  <sheets>
    <sheet name="Total" sheetId="4" r:id="rId1"/>
    <sheet name="Wetter" sheetId="1" r:id="rId2"/>
    <sheet name="Bevölkerung" sheetId="2" r:id="rId3"/>
    <sheet name="Stro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34" i="4" l="1"/>
  <c r="J434" i="4"/>
  <c r="K433" i="4"/>
  <c r="J433" i="4"/>
  <c r="K432" i="4"/>
  <c r="J432" i="4"/>
  <c r="K431" i="4"/>
  <c r="J431" i="4"/>
  <c r="K430" i="4"/>
  <c r="J430" i="4"/>
  <c r="K429" i="4"/>
  <c r="J429" i="4"/>
  <c r="K428" i="4"/>
  <c r="J428" i="4"/>
  <c r="K427" i="4"/>
  <c r="J427" i="4"/>
  <c r="K426" i="4"/>
  <c r="J426" i="4"/>
  <c r="K425" i="4"/>
  <c r="J425" i="4"/>
  <c r="K424" i="4"/>
  <c r="J424" i="4"/>
  <c r="K423" i="4"/>
  <c r="J423" i="4"/>
  <c r="K422" i="4"/>
  <c r="J422" i="4"/>
  <c r="K421" i="4"/>
  <c r="J421" i="4"/>
  <c r="K420" i="4"/>
  <c r="J420" i="4"/>
  <c r="K419" i="4"/>
  <c r="J419" i="4"/>
  <c r="K418" i="4"/>
  <c r="J418" i="4"/>
  <c r="K417" i="4"/>
  <c r="J417" i="4"/>
  <c r="K416" i="4"/>
  <c r="J416" i="4"/>
  <c r="K415" i="4"/>
  <c r="J415" i="4"/>
  <c r="K414" i="4"/>
  <c r="J414" i="4"/>
  <c r="K413" i="4"/>
  <c r="J413" i="4"/>
  <c r="K412" i="4"/>
  <c r="J412" i="4"/>
  <c r="K411" i="4"/>
  <c r="J411" i="4"/>
  <c r="K410" i="4"/>
  <c r="J410" i="4"/>
  <c r="K409" i="4"/>
  <c r="J409" i="4"/>
  <c r="K408" i="4"/>
  <c r="J408" i="4"/>
  <c r="K407" i="4"/>
  <c r="J407" i="4"/>
  <c r="K406" i="4"/>
  <c r="J406" i="4"/>
  <c r="K405" i="4"/>
  <c r="J405" i="4"/>
  <c r="K404" i="4"/>
  <c r="J404" i="4"/>
  <c r="K403" i="4"/>
  <c r="J403" i="4"/>
  <c r="K402" i="4"/>
  <c r="J402" i="4"/>
  <c r="K401" i="4"/>
  <c r="J401" i="4"/>
  <c r="K400" i="4"/>
  <c r="J400" i="4"/>
  <c r="K399" i="4"/>
  <c r="J399" i="4"/>
  <c r="K398" i="4"/>
  <c r="J398" i="4"/>
  <c r="K397" i="4"/>
  <c r="J397" i="4"/>
  <c r="K396" i="4"/>
  <c r="J396" i="4"/>
  <c r="K395" i="4"/>
  <c r="J395" i="4"/>
  <c r="K394" i="4"/>
  <c r="J394" i="4"/>
  <c r="K393" i="4"/>
  <c r="J393" i="4"/>
  <c r="K392" i="4"/>
  <c r="J392" i="4"/>
  <c r="K391" i="4"/>
  <c r="J391" i="4"/>
  <c r="K390" i="4"/>
  <c r="J390" i="4"/>
  <c r="K389" i="4"/>
  <c r="J389" i="4"/>
  <c r="K388" i="4"/>
  <c r="J388" i="4"/>
  <c r="K387" i="4"/>
  <c r="J387" i="4"/>
  <c r="K386" i="4"/>
  <c r="J386" i="4"/>
  <c r="K385" i="4"/>
  <c r="J385" i="4"/>
  <c r="K384" i="4"/>
  <c r="J384" i="4"/>
  <c r="K383" i="4"/>
  <c r="J383" i="4"/>
  <c r="K382" i="4"/>
  <c r="J382" i="4"/>
  <c r="K381" i="4"/>
  <c r="J381" i="4"/>
  <c r="K380" i="4"/>
  <c r="J380" i="4"/>
  <c r="K379" i="4"/>
  <c r="J379" i="4"/>
  <c r="K378" i="4"/>
  <c r="J378" i="4"/>
  <c r="K377" i="4"/>
  <c r="J377" i="4"/>
  <c r="K376" i="4"/>
  <c r="J376" i="4"/>
  <c r="K375" i="4"/>
  <c r="J375" i="4"/>
  <c r="K374" i="4"/>
  <c r="J374" i="4"/>
  <c r="K373" i="4"/>
  <c r="J373" i="4"/>
  <c r="K372" i="4"/>
  <c r="J372" i="4"/>
  <c r="K371" i="4"/>
  <c r="J371" i="4"/>
  <c r="K370" i="4"/>
  <c r="J370" i="4"/>
  <c r="K369" i="4"/>
  <c r="J369" i="4"/>
  <c r="K368" i="4"/>
  <c r="J368" i="4"/>
  <c r="K367" i="4"/>
  <c r="J367" i="4"/>
  <c r="K366" i="4"/>
  <c r="J366" i="4"/>
  <c r="K365" i="4"/>
  <c r="J365" i="4"/>
  <c r="K364" i="4"/>
  <c r="J364" i="4"/>
  <c r="K363" i="4"/>
  <c r="J363" i="4"/>
  <c r="K362" i="4"/>
  <c r="J362" i="4"/>
  <c r="K361" i="4"/>
  <c r="J361" i="4"/>
  <c r="K360" i="4"/>
  <c r="J360" i="4"/>
  <c r="K359" i="4"/>
  <c r="J359" i="4"/>
  <c r="K358" i="4"/>
  <c r="J358" i="4"/>
  <c r="K357" i="4"/>
  <c r="J357" i="4"/>
  <c r="K356" i="4"/>
  <c r="J356" i="4"/>
  <c r="K355" i="4"/>
  <c r="J355" i="4"/>
  <c r="K354" i="4"/>
  <c r="J354" i="4"/>
  <c r="K353" i="4"/>
  <c r="J353" i="4"/>
  <c r="K352" i="4"/>
  <c r="J352" i="4"/>
  <c r="K351" i="4"/>
  <c r="J351" i="4"/>
  <c r="K350" i="4"/>
  <c r="J350" i="4"/>
  <c r="K349" i="4"/>
  <c r="J349" i="4"/>
  <c r="K348" i="4"/>
  <c r="J348" i="4"/>
  <c r="K347" i="4"/>
  <c r="J347" i="4"/>
  <c r="K346" i="4"/>
  <c r="J346" i="4"/>
  <c r="K345" i="4"/>
  <c r="J345" i="4"/>
  <c r="K344" i="4"/>
  <c r="J344" i="4"/>
  <c r="K343" i="4"/>
  <c r="J343" i="4"/>
  <c r="K342" i="4"/>
  <c r="J342" i="4"/>
  <c r="K341" i="4"/>
  <c r="J341" i="4"/>
  <c r="K340" i="4"/>
  <c r="J340" i="4"/>
  <c r="K339" i="4"/>
  <c r="J339" i="4"/>
  <c r="K338" i="4"/>
  <c r="J338" i="4"/>
  <c r="K337" i="4"/>
  <c r="J337" i="4"/>
  <c r="K336" i="4"/>
  <c r="J336" i="4"/>
  <c r="K335" i="4"/>
  <c r="J335" i="4"/>
  <c r="K334" i="4"/>
  <c r="J334" i="4"/>
  <c r="K333" i="4"/>
  <c r="J333" i="4"/>
  <c r="K332" i="4"/>
  <c r="J332" i="4"/>
  <c r="K331" i="4"/>
  <c r="J331" i="4"/>
  <c r="K330" i="4"/>
  <c r="J330" i="4"/>
  <c r="K329" i="4"/>
  <c r="J329" i="4"/>
  <c r="K328" i="4"/>
  <c r="J328" i="4"/>
  <c r="K327" i="4"/>
  <c r="J327" i="4"/>
  <c r="K326" i="4"/>
  <c r="J326" i="4"/>
  <c r="K325" i="4"/>
  <c r="J325" i="4"/>
  <c r="K324" i="4"/>
  <c r="J324" i="4"/>
  <c r="K323" i="4"/>
  <c r="J323" i="4"/>
  <c r="K322" i="4"/>
  <c r="J322" i="4"/>
  <c r="K321" i="4"/>
  <c r="J321" i="4"/>
  <c r="K320" i="4"/>
  <c r="J320" i="4"/>
  <c r="K319" i="4"/>
  <c r="J319" i="4"/>
  <c r="K318" i="4"/>
  <c r="J318" i="4"/>
  <c r="K317" i="4"/>
  <c r="J317" i="4"/>
  <c r="K316" i="4"/>
  <c r="J316" i="4"/>
  <c r="K315" i="4"/>
  <c r="J315" i="4"/>
  <c r="K314" i="4"/>
  <c r="J314" i="4"/>
  <c r="K313" i="4"/>
  <c r="J313" i="4"/>
  <c r="K312" i="4"/>
  <c r="J312" i="4"/>
  <c r="K311" i="4"/>
  <c r="J311" i="4"/>
  <c r="K310" i="4"/>
  <c r="J310" i="4"/>
  <c r="K309" i="4"/>
  <c r="J309" i="4"/>
  <c r="K308" i="4"/>
  <c r="J308" i="4"/>
  <c r="K307" i="4"/>
  <c r="J307" i="4"/>
  <c r="K306" i="4"/>
  <c r="J306" i="4"/>
  <c r="K305" i="4"/>
  <c r="J305" i="4"/>
  <c r="K304" i="4"/>
  <c r="J304" i="4"/>
  <c r="K303" i="4"/>
  <c r="J303" i="4"/>
  <c r="K302" i="4"/>
  <c r="J302" i="4"/>
  <c r="K301" i="4"/>
  <c r="J301" i="4"/>
  <c r="K300" i="4"/>
  <c r="J300" i="4"/>
  <c r="K299" i="4"/>
  <c r="J299" i="4"/>
  <c r="K298" i="4"/>
  <c r="J298" i="4"/>
  <c r="K297" i="4"/>
  <c r="J297" i="4"/>
  <c r="K296" i="4"/>
  <c r="J296" i="4"/>
  <c r="K295" i="4"/>
  <c r="J295" i="4"/>
  <c r="K294" i="4"/>
  <c r="J294" i="4"/>
  <c r="K293" i="4"/>
  <c r="J293" i="4"/>
  <c r="K292" i="4"/>
  <c r="J292" i="4"/>
  <c r="K291" i="4"/>
  <c r="J291" i="4"/>
  <c r="K290" i="4"/>
  <c r="J290" i="4"/>
  <c r="K289" i="4"/>
  <c r="J289" i="4"/>
  <c r="K288" i="4"/>
  <c r="J288" i="4"/>
  <c r="K287" i="4"/>
  <c r="J287" i="4"/>
  <c r="K286" i="4"/>
  <c r="J286" i="4"/>
  <c r="K285" i="4"/>
  <c r="J285" i="4"/>
  <c r="K284" i="4"/>
  <c r="J284" i="4"/>
  <c r="K283" i="4"/>
  <c r="J283" i="4"/>
  <c r="K282" i="4"/>
  <c r="J282" i="4"/>
  <c r="K281" i="4"/>
  <c r="J281" i="4"/>
  <c r="K280" i="4"/>
  <c r="J280" i="4"/>
  <c r="K279" i="4"/>
  <c r="J279" i="4"/>
  <c r="K278" i="4"/>
  <c r="J278" i="4"/>
  <c r="K277" i="4"/>
  <c r="J277" i="4"/>
  <c r="K276" i="4"/>
  <c r="J276" i="4"/>
  <c r="K275" i="4"/>
  <c r="J275" i="4"/>
  <c r="K274" i="4"/>
  <c r="J274" i="4"/>
  <c r="K273" i="4"/>
  <c r="J273" i="4"/>
  <c r="K272" i="4"/>
  <c r="J272" i="4"/>
  <c r="K271" i="4"/>
  <c r="J271" i="4"/>
  <c r="K270" i="4"/>
  <c r="J270" i="4"/>
  <c r="K269" i="4"/>
  <c r="J269" i="4"/>
  <c r="K268" i="4"/>
  <c r="J268" i="4"/>
  <c r="K267" i="4"/>
  <c r="J267" i="4"/>
  <c r="K266" i="4"/>
  <c r="J266" i="4"/>
  <c r="K265" i="4"/>
  <c r="J265" i="4"/>
  <c r="K264" i="4"/>
  <c r="J264" i="4"/>
  <c r="K263" i="4"/>
  <c r="J263" i="4"/>
  <c r="K262" i="4"/>
  <c r="J262" i="4"/>
  <c r="K261" i="4"/>
  <c r="J261" i="4"/>
  <c r="K260" i="4"/>
  <c r="J260" i="4"/>
  <c r="K259" i="4"/>
  <c r="J259" i="4"/>
  <c r="K258" i="4"/>
  <c r="J258" i="4"/>
  <c r="K257" i="4"/>
  <c r="J257" i="4"/>
  <c r="K256" i="4"/>
  <c r="J256" i="4"/>
  <c r="K255" i="4"/>
  <c r="J255" i="4"/>
  <c r="K254" i="4"/>
  <c r="J254" i="4"/>
  <c r="K253" i="4"/>
  <c r="J253" i="4"/>
  <c r="K252" i="4"/>
  <c r="J252" i="4"/>
  <c r="K251" i="4"/>
  <c r="J251" i="4"/>
  <c r="K250" i="4"/>
  <c r="J250" i="4"/>
  <c r="K249" i="4"/>
  <c r="J249" i="4"/>
  <c r="K248" i="4"/>
  <c r="J248" i="4"/>
  <c r="K247" i="4"/>
  <c r="J247" i="4"/>
  <c r="K246" i="4"/>
  <c r="J246" i="4"/>
  <c r="K245" i="4"/>
  <c r="J245" i="4"/>
  <c r="K244" i="4"/>
  <c r="J244" i="4"/>
  <c r="K243" i="4"/>
  <c r="J243" i="4"/>
  <c r="K242" i="4"/>
  <c r="J242" i="4"/>
  <c r="K241" i="4"/>
  <c r="J241" i="4"/>
  <c r="K240" i="4"/>
  <c r="J240" i="4"/>
  <c r="K239" i="4"/>
  <c r="J239" i="4"/>
  <c r="K238" i="4"/>
  <c r="J238" i="4"/>
  <c r="K237" i="4"/>
  <c r="J237" i="4"/>
  <c r="K236" i="4"/>
  <c r="J236" i="4"/>
  <c r="K235" i="4"/>
  <c r="J235" i="4"/>
  <c r="K234" i="4"/>
  <c r="J234" i="4"/>
  <c r="K233" i="4"/>
  <c r="J233" i="4"/>
  <c r="K232" i="4"/>
  <c r="J232" i="4"/>
  <c r="K231" i="4"/>
  <c r="J231" i="4"/>
  <c r="K230" i="4"/>
  <c r="J230" i="4"/>
  <c r="K229" i="4"/>
  <c r="J229" i="4"/>
  <c r="K228" i="4"/>
  <c r="J228" i="4"/>
  <c r="K227" i="4"/>
  <c r="J227" i="4"/>
  <c r="K226" i="4"/>
  <c r="J226" i="4"/>
  <c r="K225" i="4"/>
  <c r="J225" i="4"/>
  <c r="K224" i="4"/>
  <c r="J224" i="4"/>
  <c r="K223" i="4"/>
  <c r="J223" i="4"/>
  <c r="K222" i="4"/>
  <c r="J222" i="4"/>
  <c r="K221" i="4"/>
  <c r="J221" i="4"/>
  <c r="K220" i="4"/>
  <c r="J220" i="4"/>
  <c r="K219" i="4"/>
  <c r="J219" i="4"/>
  <c r="K218" i="4"/>
  <c r="J218" i="4"/>
  <c r="K217" i="4"/>
  <c r="J217" i="4"/>
  <c r="K216" i="4"/>
  <c r="J216" i="4"/>
  <c r="K215" i="4"/>
  <c r="J215" i="4"/>
  <c r="K214" i="4"/>
  <c r="J214" i="4"/>
  <c r="K213" i="4"/>
  <c r="J213" i="4"/>
  <c r="K212" i="4"/>
  <c r="J212" i="4"/>
  <c r="K211" i="4"/>
  <c r="J211" i="4"/>
  <c r="K210" i="4"/>
  <c r="J210" i="4"/>
  <c r="K209" i="4"/>
  <c r="J209" i="4"/>
  <c r="K208" i="4"/>
  <c r="J208" i="4"/>
  <c r="K207" i="4"/>
  <c r="J207" i="4"/>
  <c r="K206" i="4"/>
  <c r="J206" i="4"/>
  <c r="K205" i="4"/>
  <c r="J205" i="4"/>
  <c r="K204" i="4"/>
  <c r="J204" i="4"/>
  <c r="K203" i="4"/>
  <c r="J203" i="4"/>
  <c r="K202" i="4"/>
  <c r="J202" i="4"/>
  <c r="K201" i="4"/>
  <c r="J201" i="4"/>
  <c r="K200" i="4"/>
  <c r="J200" i="4"/>
  <c r="K199" i="4"/>
  <c r="J199" i="4"/>
  <c r="K198" i="4"/>
  <c r="J198" i="4"/>
  <c r="K197" i="4"/>
  <c r="J197" i="4"/>
  <c r="K196" i="4"/>
  <c r="J196" i="4"/>
  <c r="K195" i="4"/>
  <c r="J195" i="4"/>
  <c r="K194" i="4"/>
  <c r="J194" i="4"/>
  <c r="K193" i="4"/>
  <c r="J193" i="4"/>
  <c r="K192" i="4"/>
  <c r="J192" i="4"/>
  <c r="K191" i="4"/>
  <c r="J191" i="4"/>
  <c r="K190" i="4"/>
  <c r="J190" i="4"/>
  <c r="K189" i="4"/>
  <c r="J189" i="4"/>
  <c r="K188" i="4"/>
  <c r="J188" i="4"/>
  <c r="K187" i="4"/>
  <c r="J187" i="4"/>
  <c r="K186" i="4"/>
  <c r="J186" i="4"/>
  <c r="K185" i="4"/>
  <c r="J185" i="4"/>
  <c r="K184" i="4"/>
  <c r="J184" i="4"/>
  <c r="K183" i="4"/>
  <c r="J183" i="4"/>
  <c r="K182" i="4"/>
  <c r="J182" i="4"/>
  <c r="K181" i="4"/>
  <c r="J181" i="4"/>
  <c r="K180" i="4"/>
  <c r="J180" i="4"/>
  <c r="K179" i="4"/>
  <c r="J179" i="4"/>
  <c r="K178" i="4"/>
  <c r="J178" i="4"/>
  <c r="K177" i="4"/>
  <c r="J177" i="4"/>
  <c r="K176" i="4"/>
  <c r="J176" i="4"/>
  <c r="K175" i="4"/>
  <c r="J175" i="4"/>
  <c r="K174" i="4"/>
  <c r="J174" i="4"/>
  <c r="K173" i="4"/>
  <c r="J173" i="4"/>
  <c r="K172" i="4"/>
  <c r="J172" i="4"/>
  <c r="K171" i="4"/>
  <c r="J171" i="4"/>
  <c r="K170" i="4"/>
  <c r="J170" i="4"/>
  <c r="K169" i="4"/>
  <c r="J169" i="4"/>
  <c r="K168" i="4"/>
  <c r="J168" i="4"/>
  <c r="K167" i="4"/>
  <c r="J167" i="4"/>
  <c r="K166" i="4"/>
  <c r="J166" i="4"/>
  <c r="K165" i="4"/>
  <c r="J165" i="4"/>
  <c r="K164" i="4"/>
  <c r="J164" i="4"/>
  <c r="K163" i="4"/>
  <c r="J163" i="4"/>
  <c r="K162" i="4"/>
  <c r="J162" i="4"/>
  <c r="K161" i="4"/>
  <c r="J161" i="4"/>
  <c r="K160" i="4"/>
  <c r="J160" i="4"/>
  <c r="K159" i="4"/>
  <c r="J159" i="4"/>
  <c r="K158" i="4"/>
  <c r="J158" i="4"/>
  <c r="K157" i="4"/>
  <c r="J157" i="4"/>
  <c r="K156" i="4"/>
  <c r="J156" i="4"/>
  <c r="K155" i="4"/>
  <c r="J155" i="4"/>
  <c r="K154" i="4"/>
  <c r="J154" i="4"/>
  <c r="K153" i="4"/>
  <c r="J153" i="4"/>
  <c r="K152" i="4"/>
  <c r="J152" i="4"/>
  <c r="K151" i="4"/>
  <c r="J151" i="4"/>
  <c r="K150" i="4"/>
  <c r="J150" i="4"/>
  <c r="K149" i="4"/>
  <c r="J149" i="4"/>
  <c r="K148" i="4"/>
  <c r="J148" i="4"/>
  <c r="K147" i="4"/>
  <c r="J147" i="4"/>
  <c r="K146" i="4"/>
  <c r="J146" i="4"/>
  <c r="K145" i="4"/>
  <c r="J145" i="4"/>
  <c r="K144" i="4"/>
  <c r="J144" i="4"/>
  <c r="K143" i="4"/>
  <c r="J143" i="4"/>
  <c r="K142" i="4"/>
  <c r="J142" i="4"/>
  <c r="K141" i="4"/>
  <c r="J141" i="4"/>
  <c r="K140" i="4"/>
  <c r="J140" i="4"/>
  <c r="K139" i="4"/>
  <c r="J139" i="4"/>
  <c r="K138" i="4"/>
  <c r="J138" i="4"/>
  <c r="K137" i="4"/>
  <c r="J137" i="4"/>
  <c r="K136" i="4"/>
  <c r="J136" i="4"/>
  <c r="K135" i="4"/>
  <c r="J135" i="4"/>
  <c r="K134" i="4"/>
  <c r="J134" i="4"/>
  <c r="K133" i="4"/>
  <c r="J133" i="4"/>
  <c r="K132" i="4"/>
  <c r="J132" i="4"/>
  <c r="K131" i="4"/>
  <c r="J131" i="4"/>
  <c r="K130" i="4"/>
  <c r="J130" i="4"/>
  <c r="K129" i="4"/>
  <c r="J129" i="4"/>
  <c r="K128" i="4"/>
  <c r="J128" i="4"/>
  <c r="K127" i="4"/>
  <c r="J127" i="4"/>
  <c r="K126" i="4"/>
  <c r="J126" i="4"/>
  <c r="K125" i="4"/>
  <c r="J125" i="4"/>
  <c r="K124" i="4"/>
  <c r="J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J2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I422" i="4"/>
  <c r="I421" i="4"/>
  <c r="I420" i="4"/>
  <c r="I406" i="4"/>
  <c r="I405" i="4"/>
  <c r="I404" i="4"/>
  <c r="I394" i="4"/>
  <c r="I392" i="4"/>
  <c r="I391" i="4"/>
  <c r="I390" i="4"/>
  <c r="I389" i="4"/>
  <c r="I388" i="4"/>
  <c r="I377" i="4"/>
  <c r="I376" i="4"/>
  <c r="I375" i="4"/>
  <c r="I374" i="4"/>
  <c r="I373" i="4"/>
  <c r="I372" i="4"/>
  <c r="I362" i="4"/>
  <c r="I360" i="4"/>
  <c r="I359" i="4"/>
  <c r="I358" i="4"/>
  <c r="I357" i="4"/>
  <c r="I356" i="4"/>
  <c r="I346" i="4"/>
  <c r="I344" i="4"/>
  <c r="I343" i="4"/>
  <c r="I342" i="4"/>
  <c r="I341" i="4"/>
  <c r="I340" i="4"/>
  <c r="I325" i="4"/>
  <c r="I324" i="4"/>
  <c r="I314" i="4"/>
  <c r="I312" i="4"/>
  <c r="I311" i="4"/>
  <c r="I310" i="4"/>
  <c r="I309" i="4"/>
  <c r="I308" i="4"/>
  <c r="I298" i="4"/>
  <c r="I297" i="4"/>
  <c r="I296" i="4"/>
  <c r="I295" i="4"/>
  <c r="I294" i="4"/>
  <c r="I293" i="4"/>
  <c r="I292" i="4"/>
  <c r="I281" i="4"/>
  <c r="I280" i="4"/>
  <c r="I279" i="4"/>
  <c r="I277" i="4"/>
  <c r="I276" i="4"/>
  <c r="I266" i="4"/>
  <c r="I264" i="4"/>
  <c r="I263" i="4"/>
  <c r="I261" i="4"/>
  <c r="I260" i="4"/>
  <c r="I250" i="4"/>
  <c r="I246" i="4"/>
  <c r="I245" i="4"/>
  <c r="I244" i="4"/>
  <c r="I234" i="4"/>
  <c r="I233" i="4"/>
  <c r="I232" i="4"/>
  <c r="I231" i="4"/>
  <c r="I230" i="4"/>
  <c r="I229" i="4"/>
  <c r="I228" i="4"/>
  <c r="I216" i="4"/>
  <c r="I213" i="4"/>
  <c r="I212" i="4"/>
  <c r="I201" i="4"/>
  <c r="I200" i="4"/>
  <c r="I199" i="4"/>
  <c r="I198" i="4"/>
  <c r="I197" i="4"/>
  <c r="I196" i="4"/>
  <c r="I184" i="4"/>
  <c r="I183" i="4"/>
  <c r="I182" i="4"/>
  <c r="I181" i="4"/>
  <c r="I180" i="4"/>
  <c r="I166" i="4"/>
  <c r="I165" i="4"/>
  <c r="I164" i="4"/>
  <c r="I151" i="4"/>
  <c r="I150" i="4"/>
  <c r="I149" i="4"/>
  <c r="I148" i="4"/>
  <c r="I138" i="4"/>
  <c r="I137" i="4"/>
  <c r="I136" i="4"/>
  <c r="I135" i="4"/>
  <c r="I134" i="4"/>
  <c r="I133" i="4"/>
  <c r="I132" i="4"/>
  <c r="I120" i="4"/>
  <c r="I119" i="4"/>
  <c r="I118" i="4"/>
  <c r="I117" i="4"/>
  <c r="I116" i="4"/>
  <c r="I106" i="4"/>
  <c r="I105" i="4"/>
  <c r="I104" i="4"/>
  <c r="I102" i="4"/>
  <c r="I101" i="4"/>
  <c r="I100" i="4"/>
  <c r="I90" i="4"/>
  <c r="I88" i="4"/>
  <c r="I86" i="4"/>
  <c r="I85" i="4"/>
  <c r="I84" i="4"/>
  <c r="I74" i="4"/>
  <c r="I70" i="4"/>
  <c r="I69" i="4"/>
  <c r="I68" i="4"/>
  <c r="I58" i="4"/>
  <c r="I57" i="4"/>
  <c r="I56" i="4"/>
  <c r="I55" i="4"/>
  <c r="I54" i="4"/>
  <c r="I53" i="4"/>
  <c r="I52" i="4"/>
  <c r="I42" i="4"/>
  <c r="I41" i="4"/>
  <c r="I40" i="4"/>
  <c r="I39" i="4"/>
  <c r="I38" i="4"/>
  <c r="I37" i="4"/>
  <c r="I36" i="4"/>
  <c r="I26" i="4"/>
  <c r="I24" i="4"/>
  <c r="I23" i="4"/>
  <c r="I21" i="4"/>
  <c r="I20" i="4"/>
  <c r="I19" i="4"/>
  <c r="I6" i="4"/>
  <c r="I5" i="4"/>
  <c r="G342" i="4"/>
  <c r="H342" i="4" s="1"/>
  <c r="G326" i="4"/>
  <c r="H326" i="4" s="1"/>
  <c r="G312" i="4"/>
  <c r="H312" i="4" s="1"/>
  <c r="G311" i="4"/>
  <c r="H311" i="4" s="1"/>
  <c r="G310" i="4"/>
  <c r="H310" i="4" s="1"/>
  <c r="G295" i="4"/>
  <c r="H295" i="4" s="1"/>
  <c r="G281" i="4"/>
  <c r="H281" i="4" s="1"/>
  <c r="G280" i="4"/>
  <c r="H280" i="4" s="1"/>
  <c r="G279" i="4"/>
  <c r="H279" i="4" s="1"/>
  <c r="G248" i="4"/>
  <c r="H248" i="4" s="1"/>
  <c r="G166" i="4"/>
  <c r="H166" i="4" s="1"/>
  <c r="G164" i="4"/>
  <c r="H164" i="4" s="1"/>
  <c r="G150" i="4"/>
  <c r="H150" i="4" s="1"/>
  <c r="G137" i="4"/>
  <c r="H137" i="4" s="1"/>
  <c r="G136" i="4"/>
  <c r="H136" i="4" s="1"/>
  <c r="G86" i="4"/>
  <c r="H86" i="4" s="1"/>
  <c r="G73" i="4"/>
  <c r="H73" i="4" s="1"/>
  <c r="G72" i="4"/>
  <c r="H72" i="4" s="1"/>
  <c r="G54" i="4"/>
  <c r="H54" i="4" s="1"/>
  <c r="G52" i="4"/>
  <c r="H52" i="4" s="1"/>
  <c r="G51" i="4"/>
  <c r="H51" i="4" s="1"/>
  <c r="A22" i="4"/>
  <c r="G22" i="4" s="1"/>
  <c r="H22" i="4" s="1"/>
  <c r="A23" i="4"/>
  <c r="D23" i="4" s="1"/>
  <c r="A24" i="4"/>
  <c r="D24" i="4" s="1"/>
  <c r="A25" i="4"/>
  <c r="G25" i="4" s="1"/>
  <c r="H25" i="4" s="1"/>
  <c r="A26" i="4"/>
  <c r="D26" i="4" s="1"/>
  <c r="A27" i="4"/>
  <c r="G27" i="4" s="1"/>
  <c r="H27" i="4" s="1"/>
  <c r="A28" i="4"/>
  <c r="G28" i="4" s="1"/>
  <c r="H28" i="4" s="1"/>
  <c r="A29" i="4"/>
  <c r="G29" i="4" s="1"/>
  <c r="H29" i="4" s="1"/>
  <c r="A30" i="4"/>
  <c r="G30" i="4" s="1"/>
  <c r="H30" i="4" s="1"/>
  <c r="A31" i="4"/>
  <c r="A32" i="4"/>
  <c r="A33" i="4"/>
  <c r="A34" i="4"/>
  <c r="A35" i="4"/>
  <c r="D35" i="4" s="1"/>
  <c r="I35" i="4" s="1"/>
  <c r="A36" i="4"/>
  <c r="D36" i="4" s="1"/>
  <c r="A37" i="4"/>
  <c r="D37" i="4" s="1"/>
  <c r="A38" i="4"/>
  <c r="G38" i="4" s="1"/>
  <c r="H38" i="4" s="1"/>
  <c r="A39" i="4"/>
  <c r="G39" i="4" s="1"/>
  <c r="H39" i="4" s="1"/>
  <c r="A40" i="4"/>
  <c r="G40" i="4" s="1"/>
  <c r="H40" i="4" s="1"/>
  <c r="A41" i="4"/>
  <c r="G41" i="4" s="1"/>
  <c r="H41" i="4" s="1"/>
  <c r="A42" i="4"/>
  <c r="G42" i="4" s="1"/>
  <c r="H42" i="4" s="1"/>
  <c r="A43" i="4"/>
  <c r="G43" i="4" s="1"/>
  <c r="H43" i="4" s="1"/>
  <c r="A44" i="4"/>
  <c r="G44" i="4" s="1"/>
  <c r="H44" i="4" s="1"/>
  <c r="A45" i="4"/>
  <c r="G45" i="4" s="1"/>
  <c r="H45" i="4" s="1"/>
  <c r="A46" i="4"/>
  <c r="A47" i="4"/>
  <c r="A48" i="4"/>
  <c r="A49" i="4"/>
  <c r="A50" i="4"/>
  <c r="A51" i="4"/>
  <c r="D51" i="4" s="1"/>
  <c r="I51" i="4" s="1"/>
  <c r="A52" i="4"/>
  <c r="D52" i="4" s="1"/>
  <c r="A53" i="4"/>
  <c r="D53" i="4" s="1"/>
  <c r="A54" i="4"/>
  <c r="A55" i="4"/>
  <c r="D55" i="4" s="1"/>
  <c r="A56" i="4"/>
  <c r="D56" i="4" s="1"/>
  <c r="A57" i="4"/>
  <c r="D57" i="4" s="1"/>
  <c r="A58" i="4"/>
  <c r="D58" i="4" s="1"/>
  <c r="A59" i="4"/>
  <c r="D59" i="4" s="1"/>
  <c r="I59" i="4" s="1"/>
  <c r="A60" i="4"/>
  <c r="D60" i="4" s="1"/>
  <c r="I60" i="4" s="1"/>
  <c r="A61" i="4"/>
  <c r="A62" i="4"/>
  <c r="A63" i="4"/>
  <c r="A64" i="4"/>
  <c r="A65" i="4"/>
  <c r="A66" i="4"/>
  <c r="A67" i="4"/>
  <c r="D67" i="4" s="1"/>
  <c r="I67" i="4" s="1"/>
  <c r="A68" i="4"/>
  <c r="D68" i="4" s="1"/>
  <c r="A69" i="4"/>
  <c r="D69" i="4" s="1"/>
  <c r="A70" i="4"/>
  <c r="G70" i="4" s="1"/>
  <c r="H70" i="4" s="1"/>
  <c r="A71" i="4"/>
  <c r="G71" i="4" s="1"/>
  <c r="H71" i="4" s="1"/>
  <c r="A72" i="4"/>
  <c r="A73" i="4"/>
  <c r="A74" i="4"/>
  <c r="D74" i="4" s="1"/>
  <c r="A75" i="4"/>
  <c r="G75" i="4" s="1"/>
  <c r="H75" i="4" s="1"/>
  <c r="A76" i="4"/>
  <c r="D76" i="4" s="1"/>
  <c r="I76" i="4" s="1"/>
  <c r="A77" i="4"/>
  <c r="G77" i="4" s="1"/>
  <c r="H77" i="4" s="1"/>
  <c r="A78" i="4"/>
  <c r="A79" i="4"/>
  <c r="A80" i="4"/>
  <c r="A81" i="4"/>
  <c r="A82" i="4"/>
  <c r="A83" i="4"/>
  <c r="D83" i="4" s="1"/>
  <c r="I83" i="4" s="1"/>
  <c r="A84" i="4"/>
  <c r="D84" i="4" s="1"/>
  <c r="A85" i="4"/>
  <c r="D85" i="4" s="1"/>
  <c r="A86" i="4"/>
  <c r="D86" i="4" s="1"/>
  <c r="A87" i="4"/>
  <c r="G87" i="4" s="1"/>
  <c r="H87" i="4" s="1"/>
  <c r="A88" i="4"/>
  <c r="G88" i="4" s="1"/>
  <c r="H88" i="4" s="1"/>
  <c r="A89" i="4"/>
  <c r="G89" i="4" s="1"/>
  <c r="H89" i="4" s="1"/>
  <c r="A90" i="4"/>
  <c r="D90" i="4" s="1"/>
  <c r="A91" i="4"/>
  <c r="D91" i="4" s="1"/>
  <c r="I91" i="4" s="1"/>
  <c r="A92" i="4"/>
  <c r="D92" i="4" s="1"/>
  <c r="I92" i="4" s="1"/>
  <c r="A93" i="4"/>
  <c r="A94" i="4"/>
  <c r="A95" i="4"/>
  <c r="A96" i="4"/>
  <c r="A97" i="4"/>
  <c r="A98" i="4"/>
  <c r="A99" i="4"/>
  <c r="D99" i="4" s="1"/>
  <c r="I99" i="4" s="1"/>
  <c r="A100" i="4"/>
  <c r="D100" i="4" s="1"/>
  <c r="A101" i="4"/>
  <c r="D101" i="4" s="1"/>
  <c r="A102" i="4"/>
  <c r="G102" i="4" s="1"/>
  <c r="H102" i="4" s="1"/>
  <c r="A103" i="4"/>
  <c r="G103" i="4" s="1"/>
  <c r="H103" i="4" s="1"/>
  <c r="A104" i="4"/>
  <c r="D104" i="4" s="1"/>
  <c r="A105" i="4"/>
  <c r="D105" i="4" s="1"/>
  <c r="A106" i="4"/>
  <c r="D106" i="4" s="1"/>
  <c r="A107" i="4"/>
  <c r="D107" i="4" s="1"/>
  <c r="I107" i="4" s="1"/>
  <c r="A108" i="4"/>
  <c r="G108" i="4" s="1"/>
  <c r="H108" i="4" s="1"/>
  <c r="A109" i="4"/>
  <c r="G109" i="4" s="1"/>
  <c r="H109" i="4" s="1"/>
  <c r="A110" i="4"/>
  <c r="A111" i="4"/>
  <c r="A112" i="4"/>
  <c r="A113" i="4"/>
  <c r="A114" i="4"/>
  <c r="A115" i="4"/>
  <c r="D115" i="4" s="1"/>
  <c r="I115" i="4" s="1"/>
  <c r="A116" i="4"/>
  <c r="D116" i="4" s="1"/>
  <c r="A117" i="4"/>
  <c r="D117" i="4" s="1"/>
  <c r="A118" i="4"/>
  <c r="G118" i="4" s="1"/>
  <c r="H118" i="4" s="1"/>
  <c r="A119" i="4"/>
  <c r="G119" i="4" s="1"/>
  <c r="H119" i="4" s="1"/>
  <c r="A120" i="4"/>
  <c r="G120" i="4" s="1"/>
  <c r="H120" i="4" s="1"/>
  <c r="A121" i="4"/>
  <c r="G121" i="4" s="1"/>
  <c r="H121" i="4" s="1"/>
  <c r="A122" i="4"/>
  <c r="G122" i="4" s="1"/>
  <c r="H122" i="4" s="1"/>
  <c r="A123" i="4"/>
  <c r="G123" i="4" s="1"/>
  <c r="H123" i="4" s="1"/>
  <c r="A124" i="4"/>
  <c r="D124" i="4" s="1"/>
  <c r="I124" i="4" s="1"/>
  <c r="A125" i="4"/>
  <c r="A126" i="4"/>
  <c r="A127" i="4"/>
  <c r="A128" i="4"/>
  <c r="A129" i="4"/>
  <c r="A130" i="4"/>
  <c r="A131" i="4"/>
  <c r="D131" i="4" s="1"/>
  <c r="I131" i="4" s="1"/>
  <c r="A132" i="4"/>
  <c r="D132" i="4" s="1"/>
  <c r="A133" i="4"/>
  <c r="D133" i="4" s="1"/>
  <c r="A134" i="4"/>
  <c r="G134" i="4" s="1"/>
  <c r="H134" i="4" s="1"/>
  <c r="A135" i="4"/>
  <c r="G135" i="4" s="1"/>
  <c r="H135" i="4" s="1"/>
  <c r="A136" i="4"/>
  <c r="A137" i="4"/>
  <c r="D137" i="4" s="1"/>
  <c r="A138" i="4"/>
  <c r="D138" i="4" s="1"/>
  <c r="A139" i="4"/>
  <c r="D139" i="4" s="1"/>
  <c r="I139" i="4" s="1"/>
  <c r="A140" i="4"/>
  <c r="G140" i="4" s="1"/>
  <c r="H140" i="4" s="1"/>
  <c r="A141" i="4"/>
  <c r="G141" i="4" s="1"/>
  <c r="H141" i="4" s="1"/>
  <c r="A142" i="4"/>
  <c r="A143" i="4"/>
  <c r="A144" i="4"/>
  <c r="A145" i="4"/>
  <c r="A146" i="4"/>
  <c r="A147" i="4"/>
  <c r="D147" i="4" s="1"/>
  <c r="I147" i="4" s="1"/>
  <c r="A148" i="4"/>
  <c r="D148" i="4" s="1"/>
  <c r="A149" i="4"/>
  <c r="D149" i="4" s="1"/>
  <c r="A150" i="4"/>
  <c r="A151" i="4"/>
  <c r="D151" i="4" s="1"/>
  <c r="A152" i="4"/>
  <c r="G152" i="4" s="1"/>
  <c r="H152" i="4" s="1"/>
  <c r="A153" i="4"/>
  <c r="G153" i="4" s="1"/>
  <c r="H153" i="4" s="1"/>
  <c r="A154" i="4"/>
  <c r="G154" i="4" s="1"/>
  <c r="H154" i="4" s="1"/>
  <c r="A155" i="4"/>
  <c r="G155" i="4" s="1"/>
  <c r="H155" i="4" s="1"/>
  <c r="A156" i="4"/>
  <c r="D156" i="4" s="1"/>
  <c r="I156" i="4" s="1"/>
  <c r="A157" i="4"/>
  <c r="A158" i="4"/>
  <c r="A159" i="4"/>
  <c r="A160" i="4"/>
  <c r="A161" i="4"/>
  <c r="A162" i="4"/>
  <c r="A163" i="4"/>
  <c r="D163" i="4" s="1"/>
  <c r="I163" i="4" s="1"/>
  <c r="A164" i="4"/>
  <c r="D164" i="4" s="1"/>
  <c r="A165" i="4"/>
  <c r="D165" i="4" s="1"/>
  <c r="A166" i="4"/>
  <c r="A167" i="4"/>
  <c r="G167" i="4" s="1"/>
  <c r="H167" i="4" s="1"/>
  <c r="A168" i="4"/>
  <c r="G168" i="4" s="1"/>
  <c r="H168" i="4" s="1"/>
  <c r="A169" i="4"/>
  <c r="G169" i="4" s="1"/>
  <c r="H169" i="4" s="1"/>
  <c r="A170" i="4"/>
  <c r="G170" i="4" s="1"/>
  <c r="H170" i="4" s="1"/>
  <c r="A171" i="4"/>
  <c r="D171" i="4" s="1"/>
  <c r="I171" i="4" s="1"/>
  <c r="A172" i="4"/>
  <c r="G172" i="4" s="1"/>
  <c r="H172" i="4" s="1"/>
  <c r="A173" i="4"/>
  <c r="G173" i="4" s="1"/>
  <c r="H173" i="4" s="1"/>
  <c r="A174" i="4"/>
  <c r="A175" i="4"/>
  <c r="A176" i="4"/>
  <c r="A177" i="4"/>
  <c r="A178" i="4"/>
  <c r="A179" i="4"/>
  <c r="D179" i="4" s="1"/>
  <c r="I179" i="4" s="1"/>
  <c r="A180" i="4"/>
  <c r="D180" i="4" s="1"/>
  <c r="A181" i="4"/>
  <c r="D181" i="4" s="1"/>
  <c r="A182" i="4"/>
  <c r="G182" i="4" s="1"/>
  <c r="H182" i="4" s="1"/>
  <c r="A183" i="4"/>
  <c r="D183" i="4" s="1"/>
  <c r="A184" i="4"/>
  <c r="G184" i="4" s="1"/>
  <c r="H184" i="4" s="1"/>
  <c r="A185" i="4"/>
  <c r="G185" i="4" s="1"/>
  <c r="H185" i="4" s="1"/>
  <c r="A186" i="4"/>
  <c r="G186" i="4" s="1"/>
  <c r="H186" i="4" s="1"/>
  <c r="A187" i="4"/>
  <c r="D187" i="4" s="1"/>
  <c r="I187" i="4" s="1"/>
  <c r="A188" i="4"/>
  <c r="D188" i="4" s="1"/>
  <c r="I188" i="4" s="1"/>
  <c r="A189" i="4"/>
  <c r="A190" i="4"/>
  <c r="A191" i="4"/>
  <c r="A192" i="4"/>
  <c r="A193" i="4"/>
  <c r="A194" i="4"/>
  <c r="A195" i="4"/>
  <c r="D195" i="4" s="1"/>
  <c r="I195" i="4" s="1"/>
  <c r="A196" i="4"/>
  <c r="D196" i="4" s="1"/>
  <c r="A197" i="4"/>
  <c r="D197" i="4" s="1"/>
  <c r="A198" i="4"/>
  <c r="G198" i="4" s="1"/>
  <c r="H198" i="4" s="1"/>
  <c r="A199" i="4"/>
  <c r="G199" i="4" s="1"/>
  <c r="H199" i="4" s="1"/>
  <c r="A200" i="4"/>
  <c r="G200" i="4" s="1"/>
  <c r="H200" i="4" s="1"/>
  <c r="A201" i="4"/>
  <c r="G201" i="4" s="1"/>
  <c r="H201" i="4" s="1"/>
  <c r="A202" i="4"/>
  <c r="G202" i="4" s="1"/>
  <c r="H202" i="4" s="1"/>
  <c r="A203" i="4"/>
  <c r="D203" i="4" s="1"/>
  <c r="I203" i="4" s="1"/>
  <c r="A204" i="4"/>
  <c r="G204" i="4" s="1"/>
  <c r="H204" i="4" s="1"/>
  <c r="A205" i="4"/>
  <c r="G205" i="4" s="1"/>
  <c r="H205" i="4" s="1"/>
  <c r="A206" i="4"/>
  <c r="A207" i="4"/>
  <c r="A208" i="4"/>
  <c r="A209" i="4"/>
  <c r="A210" i="4"/>
  <c r="A211" i="4"/>
  <c r="D211" i="4" s="1"/>
  <c r="I211" i="4" s="1"/>
  <c r="A212" i="4"/>
  <c r="D212" i="4" s="1"/>
  <c r="A213" i="4"/>
  <c r="D213" i="4" s="1"/>
  <c r="A214" i="4"/>
  <c r="G214" i="4" s="1"/>
  <c r="H214" i="4" s="1"/>
  <c r="A215" i="4"/>
  <c r="G215" i="4" s="1"/>
  <c r="H215" i="4" s="1"/>
  <c r="A216" i="4"/>
  <c r="G216" i="4" s="1"/>
  <c r="H216" i="4" s="1"/>
  <c r="A217" i="4"/>
  <c r="G217" i="4" s="1"/>
  <c r="H217" i="4" s="1"/>
  <c r="A218" i="4"/>
  <c r="G218" i="4" s="1"/>
  <c r="H218" i="4" s="1"/>
  <c r="A219" i="4"/>
  <c r="D219" i="4" s="1"/>
  <c r="I219" i="4" s="1"/>
  <c r="A220" i="4"/>
  <c r="D220" i="4" s="1"/>
  <c r="I220" i="4" s="1"/>
  <c r="A221" i="4"/>
  <c r="A222" i="4"/>
  <c r="A223" i="4"/>
  <c r="A224" i="4"/>
  <c r="A225" i="4"/>
  <c r="A226" i="4"/>
  <c r="A227" i="4"/>
  <c r="D227" i="4" s="1"/>
  <c r="I227" i="4" s="1"/>
  <c r="A228" i="4"/>
  <c r="D228" i="4" s="1"/>
  <c r="A229" i="4"/>
  <c r="D229" i="4" s="1"/>
  <c r="A230" i="4"/>
  <c r="G230" i="4" s="1"/>
  <c r="H230" i="4" s="1"/>
  <c r="A231" i="4"/>
  <c r="G231" i="4" s="1"/>
  <c r="H231" i="4" s="1"/>
  <c r="A232" i="4"/>
  <c r="D232" i="4" s="1"/>
  <c r="A233" i="4"/>
  <c r="D233" i="4" s="1"/>
  <c r="A234" i="4"/>
  <c r="D234" i="4" s="1"/>
  <c r="A235" i="4"/>
  <c r="D235" i="4" s="1"/>
  <c r="I235" i="4" s="1"/>
  <c r="A236" i="4"/>
  <c r="G236" i="4" s="1"/>
  <c r="H236" i="4" s="1"/>
  <c r="A237" i="4"/>
  <c r="G237" i="4" s="1"/>
  <c r="H237" i="4" s="1"/>
  <c r="A238" i="4"/>
  <c r="A239" i="4"/>
  <c r="A240" i="4"/>
  <c r="A241" i="4"/>
  <c r="A242" i="4"/>
  <c r="A243" i="4"/>
  <c r="D243" i="4" s="1"/>
  <c r="I243" i="4" s="1"/>
  <c r="A244" i="4"/>
  <c r="D244" i="4" s="1"/>
  <c r="A245" i="4"/>
  <c r="D245" i="4" s="1"/>
  <c r="A246" i="4"/>
  <c r="G246" i="4" s="1"/>
  <c r="H246" i="4" s="1"/>
  <c r="A247" i="4"/>
  <c r="G247" i="4" s="1"/>
  <c r="H247" i="4" s="1"/>
  <c r="A248" i="4"/>
  <c r="A249" i="4"/>
  <c r="G249" i="4" s="1"/>
  <c r="H249" i="4" s="1"/>
  <c r="A250" i="4"/>
  <c r="D250" i="4" s="1"/>
  <c r="A251" i="4"/>
  <c r="G251" i="4" s="1"/>
  <c r="H251" i="4" s="1"/>
  <c r="A252" i="4"/>
  <c r="D252" i="4" s="1"/>
  <c r="I252" i="4" s="1"/>
  <c r="A253" i="4"/>
  <c r="A254" i="4"/>
  <c r="A255" i="4"/>
  <c r="A256" i="4"/>
  <c r="A257" i="4"/>
  <c r="A258" i="4"/>
  <c r="A259" i="4"/>
  <c r="D259" i="4" s="1"/>
  <c r="I259" i="4" s="1"/>
  <c r="A260" i="4"/>
  <c r="D260" i="4" s="1"/>
  <c r="A261" i="4"/>
  <c r="D261" i="4" s="1"/>
  <c r="A262" i="4"/>
  <c r="G262" i="4" s="1"/>
  <c r="H262" i="4" s="1"/>
  <c r="A263" i="4"/>
  <c r="G263" i="4" s="1"/>
  <c r="H263" i="4" s="1"/>
  <c r="A264" i="4"/>
  <c r="G264" i="4" s="1"/>
  <c r="H264" i="4" s="1"/>
  <c r="A265" i="4"/>
  <c r="G265" i="4" s="1"/>
  <c r="H265" i="4" s="1"/>
  <c r="A266" i="4"/>
  <c r="D266" i="4" s="1"/>
  <c r="A267" i="4"/>
  <c r="D267" i="4" s="1"/>
  <c r="I267" i="4" s="1"/>
  <c r="A268" i="4"/>
  <c r="G268" i="4" s="1"/>
  <c r="H268" i="4" s="1"/>
  <c r="A269" i="4"/>
  <c r="G269" i="4" s="1"/>
  <c r="H269" i="4" s="1"/>
  <c r="A270" i="4"/>
  <c r="A271" i="4"/>
  <c r="A272" i="4"/>
  <c r="A273" i="4"/>
  <c r="A274" i="4"/>
  <c r="A275" i="4"/>
  <c r="D275" i="4" s="1"/>
  <c r="I275" i="4" s="1"/>
  <c r="A276" i="4"/>
  <c r="D276" i="4" s="1"/>
  <c r="A277" i="4"/>
  <c r="D277" i="4" s="1"/>
  <c r="A278" i="4"/>
  <c r="G278" i="4" s="1"/>
  <c r="H278" i="4" s="1"/>
  <c r="A279" i="4"/>
  <c r="D279" i="4" s="1"/>
  <c r="A280" i="4"/>
  <c r="A281" i="4"/>
  <c r="D281" i="4" s="1"/>
  <c r="A282" i="4"/>
  <c r="G282" i="4" s="1"/>
  <c r="H282" i="4" s="1"/>
  <c r="A283" i="4"/>
  <c r="G283" i="4" s="1"/>
  <c r="H283" i="4" s="1"/>
  <c r="A284" i="4"/>
  <c r="D284" i="4" s="1"/>
  <c r="I284" i="4" s="1"/>
  <c r="A285" i="4"/>
  <c r="A286" i="4"/>
  <c r="A287" i="4"/>
  <c r="A288" i="4"/>
  <c r="A289" i="4"/>
  <c r="A290" i="4"/>
  <c r="A291" i="4"/>
  <c r="D291" i="4" s="1"/>
  <c r="I291" i="4" s="1"/>
  <c r="A292" i="4"/>
  <c r="D292" i="4" s="1"/>
  <c r="A293" i="4"/>
  <c r="D293" i="4" s="1"/>
  <c r="A294" i="4"/>
  <c r="G294" i="4" s="1"/>
  <c r="H294" i="4" s="1"/>
  <c r="A295" i="4"/>
  <c r="A296" i="4"/>
  <c r="G296" i="4" s="1"/>
  <c r="H296" i="4" s="1"/>
  <c r="A297" i="4"/>
  <c r="G297" i="4" s="1"/>
  <c r="H297" i="4" s="1"/>
  <c r="A298" i="4"/>
  <c r="G298" i="4" s="1"/>
  <c r="H298" i="4" s="1"/>
  <c r="A299" i="4"/>
  <c r="G299" i="4" s="1"/>
  <c r="H299" i="4" s="1"/>
  <c r="A300" i="4"/>
  <c r="G300" i="4" s="1"/>
  <c r="H300" i="4" s="1"/>
  <c r="A301" i="4"/>
  <c r="G301" i="4" s="1"/>
  <c r="H301" i="4" s="1"/>
  <c r="A302" i="4"/>
  <c r="A303" i="4"/>
  <c r="A304" i="4"/>
  <c r="A305" i="4"/>
  <c r="A306" i="4"/>
  <c r="A307" i="4"/>
  <c r="D307" i="4" s="1"/>
  <c r="I307" i="4" s="1"/>
  <c r="A308" i="4"/>
  <c r="D308" i="4" s="1"/>
  <c r="A309" i="4"/>
  <c r="D309" i="4" s="1"/>
  <c r="A310" i="4"/>
  <c r="A311" i="4"/>
  <c r="D311" i="4" s="1"/>
  <c r="A312" i="4"/>
  <c r="D312" i="4" s="1"/>
  <c r="A313" i="4"/>
  <c r="G313" i="4" s="1"/>
  <c r="H313" i="4" s="1"/>
  <c r="A314" i="4"/>
  <c r="D314" i="4" s="1"/>
  <c r="A315" i="4"/>
  <c r="D315" i="4" s="1"/>
  <c r="I315" i="4" s="1"/>
  <c r="A316" i="4"/>
  <c r="D316" i="4" s="1"/>
  <c r="I316" i="4" s="1"/>
  <c r="A317" i="4"/>
  <c r="A318" i="4"/>
  <c r="A319" i="4"/>
  <c r="A320" i="4"/>
  <c r="A321" i="4"/>
  <c r="A322" i="4"/>
  <c r="A323" i="4"/>
  <c r="D323" i="4" s="1"/>
  <c r="I323" i="4" s="1"/>
  <c r="A324" i="4"/>
  <c r="D324" i="4" s="1"/>
  <c r="A325" i="4"/>
  <c r="D325" i="4" s="1"/>
  <c r="A326" i="4"/>
  <c r="A327" i="4"/>
  <c r="G327" i="4" s="1"/>
  <c r="H327" i="4" s="1"/>
  <c r="A328" i="4"/>
  <c r="G328" i="4" s="1"/>
  <c r="H328" i="4" s="1"/>
  <c r="A329" i="4"/>
  <c r="G329" i="4" s="1"/>
  <c r="H329" i="4" s="1"/>
  <c r="A330" i="4"/>
  <c r="G330" i="4" s="1"/>
  <c r="H330" i="4" s="1"/>
  <c r="A331" i="4"/>
  <c r="G331" i="4" s="1"/>
  <c r="H331" i="4" s="1"/>
  <c r="A332" i="4"/>
  <c r="G332" i="4" s="1"/>
  <c r="H332" i="4" s="1"/>
  <c r="A333" i="4"/>
  <c r="G333" i="4" s="1"/>
  <c r="H333" i="4" s="1"/>
  <c r="A334" i="4"/>
  <c r="A335" i="4"/>
  <c r="A336" i="4"/>
  <c r="A337" i="4"/>
  <c r="A338" i="4"/>
  <c r="A339" i="4"/>
  <c r="D339" i="4" s="1"/>
  <c r="I339" i="4" s="1"/>
  <c r="A340" i="4"/>
  <c r="D340" i="4" s="1"/>
  <c r="A341" i="4"/>
  <c r="D341" i="4" s="1"/>
  <c r="A342" i="4"/>
  <c r="D342" i="4" s="1"/>
  <c r="A343" i="4"/>
  <c r="D343" i="4" s="1"/>
  <c r="A344" i="4"/>
  <c r="G344" i="4" s="1"/>
  <c r="H344" i="4" s="1"/>
  <c r="A345" i="4"/>
  <c r="G345" i="4" s="1"/>
  <c r="H345" i="4" s="1"/>
  <c r="A346" i="4"/>
  <c r="D346" i="4" s="1"/>
  <c r="A347" i="4"/>
  <c r="D347" i="4" s="1"/>
  <c r="I347" i="4" s="1"/>
  <c r="A348" i="4"/>
  <c r="D348" i="4" s="1"/>
  <c r="I348" i="4" s="1"/>
  <c r="A349" i="4"/>
  <c r="A350" i="4"/>
  <c r="A351" i="4"/>
  <c r="A352" i="4"/>
  <c r="A353" i="4"/>
  <c r="A354" i="4"/>
  <c r="A355" i="4"/>
  <c r="D355" i="4" s="1"/>
  <c r="I355" i="4" s="1"/>
  <c r="A356" i="4"/>
  <c r="D356" i="4" s="1"/>
  <c r="A357" i="4"/>
  <c r="D357" i="4" s="1"/>
  <c r="A358" i="4"/>
  <c r="G358" i="4" s="1"/>
  <c r="H358" i="4" s="1"/>
  <c r="A359" i="4"/>
  <c r="D359" i="4" s="1"/>
  <c r="A360" i="4"/>
  <c r="D360" i="4" s="1"/>
  <c r="A361" i="4"/>
  <c r="G361" i="4" s="1"/>
  <c r="H361" i="4" s="1"/>
  <c r="A362" i="4"/>
  <c r="D362" i="4" s="1"/>
  <c r="A363" i="4"/>
  <c r="D363" i="4" s="1"/>
  <c r="I363" i="4" s="1"/>
  <c r="A364" i="4"/>
  <c r="G364" i="4" s="1"/>
  <c r="H364" i="4" s="1"/>
  <c r="A365" i="4"/>
  <c r="G365" i="4" s="1"/>
  <c r="H365" i="4" s="1"/>
  <c r="A366" i="4"/>
  <c r="A367" i="4"/>
  <c r="A368" i="4"/>
  <c r="A369" i="4"/>
  <c r="A370" i="4"/>
  <c r="A371" i="4"/>
  <c r="D371" i="4" s="1"/>
  <c r="I371" i="4" s="1"/>
  <c r="A372" i="4"/>
  <c r="D372" i="4" s="1"/>
  <c r="A373" i="4"/>
  <c r="D373" i="4" s="1"/>
  <c r="A374" i="4"/>
  <c r="G374" i="4" s="1"/>
  <c r="H374" i="4" s="1"/>
  <c r="A375" i="4"/>
  <c r="G375" i="4" s="1"/>
  <c r="H375" i="4" s="1"/>
  <c r="A376" i="4"/>
  <c r="G376" i="4" s="1"/>
  <c r="H376" i="4" s="1"/>
  <c r="A377" i="4"/>
  <c r="G377" i="4" s="1"/>
  <c r="H377" i="4" s="1"/>
  <c r="A378" i="4"/>
  <c r="G378" i="4" s="1"/>
  <c r="H378" i="4" s="1"/>
  <c r="A379" i="4"/>
  <c r="G379" i="4" s="1"/>
  <c r="H379" i="4" s="1"/>
  <c r="A380" i="4"/>
  <c r="A381" i="4"/>
  <c r="A382" i="4"/>
  <c r="A383" i="4"/>
  <c r="A384" i="4"/>
  <c r="A385" i="4"/>
  <c r="A386" i="4"/>
  <c r="A387" i="4"/>
  <c r="D387" i="4" s="1"/>
  <c r="I387" i="4" s="1"/>
  <c r="A388" i="4"/>
  <c r="D388" i="4" s="1"/>
  <c r="A389" i="4"/>
  <c r="D389" i="4" s="1"/>
  <c r="A390" i="4"/>
  <c r="G390" i="4" s="1"/>
  <c r="H390" i="4" s="1"/>
  <c r="A391" i="4"/>
  <c r="G391" i="4" s="1"/>
  <c r="H391" i="4" s="1"/>
  <c r="A392" i="4"/>
  <c r="G392" i="4" s="1"/>
  <c r="H392" i="4" s="1"/>
  <c r="A393" i="4"/>
  <c r="G393" i="4" s="1"/>
  <c r="H393" i="4" s="1"/>
  <c r="A394" i="4"/>
  <c r="D394" i="4" s="1"/>
  <c r="A395" i="4"/>
  <c r="D395" i="4" s="1"/>
  <c r="I395" i="4" s="1"/>
  <c r="A396" i="4"/>
  <c r="G396" i="4" s="1"/>
  <c r="H396" i="4" s="1"/>
  <c r="A397" i="4"/>
  <c r="G397" i="4" s="1"/>
  <c r="H397" i="4" s="1"/>
  <c r="A398" i="4"/>
  <c r="A399" i="4"/>
  <c r="A400" i="4"/>
  <c r="A401" i="4"/>
  <c r="A402" i="4"/>
  <c r="A403" i="4"/>
  <c r="D403" i="4" s="1"/>
  <c r="I403" i="4" s="1"/>
  <c r="A404" i="4"/>
  <c r="D404" i="4" s="1"/>
  <c r="A405" i="4"/>
  <c r="D405" i="4" s="1"/>
  <c r="A406" i="4"/>
  <c r="D406" i="4" s="1"/>
  <c r="A407" i="4"/>
  <c r="G407" i="4" s="1"/>
  <c r="H407" i="4" s="1"/>
  <c r="A408" i="4"/>
  <c r="G408" i="4" s="1"/>
  <c r="H408" i="4" s="1"/>
  <c r="A409" i="4"/>
  <c r="G409" i="4" s="1"/>
  <c r="H409" i="4" s="1"/>
  <c r="A410" i="4"/>
  <c r="G410" i="4" s="1"/>
  <c r="H410" i="4" s="1"/>
  <c r="A411" i="4"/>
  <c r="G411" i="4" s="1"/>
  <c r="H411" i="4" s="1"/>
  <c r="A412" i="4"/>
  <c r="A413" i="4"/>
  <c r="A414" i="4"/>
  <c r="A415" i="4"/>
  <c r="A416" i="4"/>
  <c r="A417" i="4"/>
  <c r="A418" i="4"/>
  <c r="A419" i="4"/>
  <c r="D419" i="4" s="1"/>
  <c r="I419" i="4" s="1"/>
  <c r="A420" i="4"/>
  <c r="D420" i="4" s="1"/>
  <c r="A421" i="4"/>
  <c r="D421" i="4" s="1"/>
  <c r="A422" i="4"/>
  <c r="G422" i="4" s="1"/>
  <c r="H422" i="4" s="1"/>
  <c r="A423" i="4"/>
  <c r="G423" i="4" s="1"/>
  <c r="H423" i="4" s="1"/>
  <c r="A424" i="4"/>
  <c r="G424" i="4" s="1"/>
  <c r="H424" i="4" s="1"/>
  <c r="A425" i="4"/>
  <c r="G425" i="4" s="1"/>
  <c r="H425" i="4" s="1"/>
  <c r="A426" i="4"/>
  <c r="G426" i="4" s="1"/>
  <c r="H426" i="4" s="1"/>
  <c r="A427" i="4"/>
  <c r="G427" i="4" s="1"/>
  <c r="H427" i="4" s="1"/>
  <c r="A428" i="4"/>
  <c r="G428" i="4" s="1"/>
  <c r="H428" i="4" s="1"/>
  <c r="A429" i="4"/>
  <c r="G429" i="4" s="1"/>
  <c r="H429" i="4" s="1"/>
  <c r="A430" i="4"/>
  <c r="A431" i="4"/>
  <c r="A432" i="4"/>
  <c r="A433" i="4"/>
  <c r="A434" i="4"/>
  <c r="A3" i="4"/>
  <c r="G3" i="4" s="1"/>
  <c r="H3" i="4" s="1"/>
  <c r="A4" i="4"/>
  <c r="G4" i="4" s="1"/>
  <c r="H4" i="4" s="1"/>
  <c r="A5" i="4"/>
  <c r="D5" i="4" s="1"/>
  <c r="A6" i="4"/>
  <c r="D6" i="4" s="1"/>
  <c r="A7" i="4"/>
  <c r="G7" i="4" s="1"/>
  <c r="H7" i="4" s="1"/>
  <c r="A8" i="4"/>
  <c r="G8" i="4" s="1"/>
  <c r="H8" i="4" s="1"/>
  <c r="A9" i="4"/>
  <c r="G9" i="4" s="1"/>
  <c r="H9" i="4" s="1"/>
  <c r="A10" i="4"/>
  <c r="G10" i="4" s="1"/>
  <c r="H10" i="4" s="1"/>
  <c r="A11" i="4"/>
  <c r="G11" i="4" s="1"/>
  <c r="H11" i="4" s="1"/>
  <c r="A12" i="4"/>
  <c r="D12" i="4" s="1"/>
  <c r="I12" i="4" s="1"/>
  <c r="A13" i="4"/>
  <c r="A14" i="4"/>
  <c r="A15" i="4"/>
  <c r="A16" i="4"/>
  <c r="A17" i="4"/>
  <c r="A18" i="4"/>
  <c r="A19" i="4"/>
  <c r="D19" i="4" s="1"/>
  <c r="A20" i="4"/>
  <c r="D20" i="4" s="1"/>
  <c r="A21" i="4"/>
  <c r="D21" i="4" s="1"/>
  <c r="A2" i="4"/>
  <c r="G2" i="4" s="1"/>
  <c r="H2" i="4" s="1"/>
  <c r="D38" i="4"/>
  <c r="D39" i="4"/>
  <c r="D40" i="4"/>
  <c r="D41" i="4"/>
  <c r="D42" i="4"/>
  <c r="D43" i="4"/>
  <c r="I43" i="4" s="1"/>
  <c r="D44" i="4"/>
  <c r="I44" i="4" s="1"/>
  <c r="D54" i="4"/>
  <c r="D70" i="4"/>
  <c r="D71" i="4"/>
  <c r="I71" i="4" s="1"/>
  <c r="D72" i="4"/>
  <c r="I72" i="4" s="1"/>
  <c r="D73" i="4"/>
  <c r="I73" i="4" s="1"/>
  <c r="D88" i="4"/>
  <c r="D102" i="4"/>
  <c r="D118" i="4"/>
  <c r="D119" i="4"/>
  <c r="D120" i="4"/>
  <c r="D134" i="4"/>
  <c r="D135" i="4"/>
  <c r="D136" i="4"/>
  <c r="D150" i="4"/>
  <c r="D152" i="4"/>
  <c r="I152" i="4" s="1"/>
  <c r="D166" i="4"/>
  <c r="D167" i="4"/>
  <c r="I167" i="4" s="1"/>
  <c r="D168" i="4"/>
  <c r="I168" i="4" s="1"/>
  <c r="D169" i="4"/>
  <c r="I169" i="4" s="1"/>
  <c r="D182" i="4"/>
  <c r="D184" i="4"/>
  <c r="D198" i="4"/>
  <c r="D199" i="4"/>
  <c r="D200" i="4"/>
  <c r="D201" i="4"/>
  <c r="D216" i="4"/>
  <c r="D230" i="4"/>
  <c r="D231" i="4"/>
  <c r="D246" i="4"/>
  <c r="D247" i="4"/>
  <c r="I247" i="4" s="1"/>
  <c r="D248" i="4"/>
  <c r="I248" i="4" s="1"/>
  <c r="D249" i="4"/>
  <c r="I249" i="4" s="1"/>
  <c r="D262" i="4"/>
  <c r="I262" i="4" s="1"/>
  <c r="D263" i="4"/>
  <c r="D264" i="4"/>
  <c r="D280" i="4"/>
  <c r="D294" i="4"/>
  <c r="D295" i="4"/>
  <c r="D296" i="4"/>
  <c r="D297" i="4"/>
  <c r="D298" i="4"/>
  <c r="D299" i="4"/>
  <c r="I299" i="4" s="1"/>
  <c r="D300" i="4"/>
  <c r="I300" i="4" s="1"/>
  <c r="D310" i="4"/>
  <c r="D313" i="4"/>
  <c r="I313" i="4" s="1"/>
  <c r="D326" i="4"/>
  <c r="I326" i="4" s="1"/>
  <c r="D327" i="4"/>
  <c r="I327" i="4" s="1"/>
  <c r="D328" i="4"/>
  <c r="I328" i="4" s="1"/>
  <c r="D344" i="4"/>
  <c r="D358" i="4"/>
  <c r="D374" i="4"/>
  <c r="D375" i="4"/>
  <c r="D376" i="4"/>
  <c r="D377" i="4"/>
  <c r="D390" i="4"/>
  <c r="D391" i="4"/>
  <c r="D392" i="4"/>
  <c r="D408" i="4"/>
  <c r="I408" i="4" s="1"/>
  <c r="D422" i="4"/>
  <c r="D423" i="4"/>
  <c r="I423" i="4" s="1"/>
  <c r="D424" i="4"/>
  <c r="I424" i="4" s="1"/>
  <c r="D425" i="4"/>
  <c r="I425" i="4" s="1"/>
  <c r="D2" i="4"/>
  <c r="I2" i="4" s="1"/>
  <c r="G343" i="4" l="1"/>
  <c r="H343" i="4" s="1"/>
  <c r="D7" i="4"/>
  <c r="I7" i="4" s="1"/>
  <c r="G23" i="4"/>
  <c r="H23" i="4" s="1"/>
  <c r="D121" i="4"/>
  <c r="I121" i="4" s="1"/>
  <c r="D28" i="4"/>
  <c r="I28" i="4" s="1"/>
  <c r="D361" i="4"/>
  <c r="I361" i="4" s="1"/>
  <c r="D265" i="4"/>
  <c r="I265" i="4" s="1"/>
  <c r="D25" i="4"/>
  <c r="I25" i="4" s="1"/>
  <c r="G35" i="4"/>
  <c r="H35" i="4" s="1"/>
  <c r="D379" i="4"/>
  <c r="I379" i="4" s="1"/>
  <c r="D204" i="4"/>
  <c r="I204" i="4" s="1"/>
  <c r="D123" i="4"/>
  <c r="I123" i="4" s="1"/>
  <c r="D426" i="4"/>
  <c r="I426" i="4" s="1"/>
  <c r="D170" i="4"/>
  <c r="I170" i="4" s="1"/>
  <c r="D428" i="4"/>
  <c r="I428" i="4" s="1"/>
  <c r="D364" i="4"/>
  <c r="I364" i="4" s="1"/>
  <c r="D172" i="4"/>
  <c r="I172" i="4" s="1"/>
  <c r="G104" i="4"/>
  <c r="H104" i="4" s="1"/>
  <c r="G220" i="4"/>
  <c r="H220" i="4" s="1"/>
  <c r="G187" i="4"/>
  <c r="H187" i="4" s="1"/>
  <c r="D411" i="4"/>
  <c r="I411" i="4" s="1"/>
  <c r="D236" i="4"/>
  <c r="I236" i="4" s="1"/>
  <c r="G105" i="4"/>
  <c r="H105" i="4" s="1"/>
  <c r="D9" i="4"/>
  <c r="I9" i="4" s="1"/>
  <c r="D407" i="4"/>
  <c r="I407" i="4" s="1"/>
  <c r="D217" i="4"/>
  <c r="I217" i="4" s="1"/>
  <c r="G406" i="4"/>
  <c r="H406" i="4" s="1"/>
  <c r="D155" i="4"/>
  <c r="I155" i="4" s="1"/>
  <c r="G6" i="4"/>
  <c r="H6" i="4" s="1"/>
  <c r="D22" i="4"/>
  <c r="I22" i="4" s="1"/>
  <c r="D393" i="4"/>
  <c r="I393" i="4" s="1"/>
  <c r="D329" i="4"/>
  <c r="I329" i="4" s="1"/>
  <c r="D215" i="4"/>
  <c r="I215" i="4" s="1"/>
  <c r="D154" i="4"/>
  <c r="I154" i="4" s="1"/>
  <c r="D87" i="4"/>
  <c r="I87" i="4" s="1"/>
  <c r="G19" i="4"/>
  <c r="H19" i="4" s="1"/>
  <c r="G252" i="4"/>
  <c r="H252" i="4" s="1"/>
  <c r="G76" i="4"/>
  <c r="H76" i="4" s="1"/>
  <c r="D410" i="4"/>
  <c r="I410" i="4" s="1"/>
  <c r="D409" i="4"/>
  <c r="I409" i="4" s="1"/>
  <c r="D345" i="4"/>
  <c r="I345" i="4" s="1"/>
  <c r="D108" i="4"/>
  <c r="I108" i="4" s="1"/>
  <c r="D8" i="4"/>
  <c r="I8" i="4" s="1"/>
  <c r="D282" i="4"/>
  <c r="I282" i="4" s="1"/>
  <c r="D218" i="4"/>
  <c r="I218" i="4" s="1"/>
  <c r="D89" i="4"/>
  <c r="I89" i="4" s="1"/>
  <c r="G107" i="4"/>
  <c r="H107" i="4" s="1"/>
  <c r="D10" i="4"/>
  <c r="I10" i="4" s="1"/>
  <c r="D278" i="4"/>
  <c r="I278" i="4" s="1"/>
  <c r="D214" i="4"/>
  <c r="I214" i="4" s="1"/>
  <c r="D153" i="4"/>
  <c r="I153" i="4" s="1"/>
  <c r="G309" i="4"/>
  <c r="H309" i="4" s="1"/>
  <c r="G341" i="4"/>
  <c r="H341" i="4" s="1"/>
  <c r="G394" i="4"/>
  <c r="H394" i="4" s="1"/>
  <c r="G20" i="4"/>
  <c r="H20" i="4" s="1"/>
  <c r="G165" i="4"/>
  <c r="H165" i="4" s="1"/>
  <c r="G188" i="4"/>
  <c r="H188" i="4" s="1"/>
  <c r="G227" i="4"/>
  <c r="H227" i="4" s="1"/>
  <c r="G371" i="4"/>
  <c r="H371" i="4" s="1"/>
  <c r="G395" i="4"/>
  <c r="H395" i="4" s="1"/>
  <c r="G21" i="4"/>
  <c r="H21" i="4" s="1"/>
  <c r="G74" i="4"/>
  <c r="H74" i="4" s="1"/>
  <c r="G106" i="4"/>
  <c r="H106" i="4" s="1"/>
  <c r="G195" i="4"/>
  <c r="H195" i="4" s="1"/>
  <c r="G228" i="4"/>
  <c r="H228" i="4" s="1"/>
  <c r="G250" i="4"/>
  <c r="H250" i="4" s="1"/>
  <c r="G372" i="4"/>
  <c r="H372" i="4" s="1"/>
  <c r="G403" i="4"/>
  <c r="H403" i="4" s="1"/>
  <c r="G373" i="4"/>
  <c r="H373" i="4" s="1"/>
  <c r="G405" i="4"/>
  <c r="H405" i="4" s="1"/>
  <c r="D3" i="4"/>
  <c r="I3" i="4" s="1"/>
  <c r="D378" i="4"/>
  <c r="I378" i="4" s="1"/>
  <c r="D332" i="4"/>
  <c r="I332" i="4" s="1"/>
  <c r="D122" i="4"/>
  <c r="I122" i="4" s="1"/>
  <c r="G53" i="4"/>
  <c r="H53" i="4" s="1"/>
  <c r="G85" i="4"/>
  <c r="H85" i="4" s="1"/>
  <c r="G138" i="4"/>
  <c r="H138" i="4" s="1"/>
  <c r="G259" i="4"/>
  <c r="H259" i="4" s="1"/>
  <c r="G284" i="4"/>
  <c r="H284" i="4" s="1"/>
  <c r="G197" i="4"/>
  <c r="H197" i="4" s="1"/>
  <c r="G229" i="4"/>
  <c r="H229" i="4" s="1"/>
  <c r="D4" i="4"/>
  <c r="I4" i="4" s="1"/>
  <c r="D330" i="4"/>
  <c r="I330" i="4" s="1"/>
  <c r="G24" i="4"/>
  <c r="H24" i="4" s="1"/>
  <c r="G115" i="4"/>
  <c r="H115" i="4" s="1"/>
  <c r="G139" i="4"/>
  <c r="H139" i="4" s="1"/>
  <c r="G261" i="4"/>
  <c r="H261" i="4" s="1"/>
  <c r="G291" i="4"/>
  <c r="H291" i="4" s="1"/>
  <c r="G314" i="4"/>
  <c r="H314" i="4" s="1"/>
  <c r="G346" i="4"/>
  <c r="H346" i="4" s="1"/>
  <c r="D202" i="4"/>
  <c r="I202" i="4" s="1"/>
  <c r="G55" i="4"/>
  <c r="H55" i="4" s="1"/>
  <c r="G116" i="4"/>
  <c r="H116" i="4" s="1"/>
  <c r="G147" i="4"/>
  <c r="H147" i="4" s="1"/>
  <c r="G232" i="4"/>
  <c r="H232" i="4" s="1"/>
  <c r="G292" i="4"/>
  <c r="H292" i="4" s="1"/>
  <c r="G315" i="4"/>
  <c r="H315" i="4" s="1"/>
  <c r="G348" i="4"/>
  <c r="H348" i="4" s="1"/>
  <c r="G26" i="4"/>
  <c r="H26" i="4" s="1"/>
  <c r="G56" i="4"/>
  <c r="H56" i="4" s="1"/>
  <c r="G117" i="4"/>
  <c r="H117" i="4" s="1"/>
  <c r="G148" i="4"/>
  <c r="H148" i="4" s="1"/>
  <c r="G233" i="4"/>
  <c r="H233" i="4" s="1"/>
  <c r="G293" i="4"/>
  <c r="H293" i="4" s="1"/>
  <c r="G316" i="4"/>
  <c r="H316" i="4" s="1"/>
  <c r="G355" i="4"/>
  <c r="H355" i="4" s="1"/>
  <c r="G57" i="4"/>
  <c r="H57" i="4" s="1"/>
  <c r="G149" i="4"/>
  <c r="H149" i="4" s="1"/>
  <c r="G179" i="4"/>
  <c r="H179" i="4" s="1"/>
  <c r="G234" i="4"/>
  <c r="H234" i="4" s="1"/>
  <c r="G323" i="4"/>
  <c r="H323" i="4" s="1"/>
  <c r="G356" i="4"/>
  <c r="H356" i="4" s="1"/>
  <c r="G5" i="4"/>
  <c r="H5" i="4" s="1"/>
  <c r="G58" i="4"/>
  <c r="H58" i="4" s="1"/>
  <c r="G90" i="4"/>
  <c r="H90" i="4" s="1"/>
  <c r="G180" i="4"/>
  <c r="H180" i="4" s="1"/>
  <c r="G235" i="4"/>
  <c r="H235" i="4" s="1"/>
  <c r="G325" i="4"/>
  <c r="H325" i="4" s="1"/>
  <c r="G357" i="4"/>
  <c r="H357" i="4" s="1"/>
  <c r="G387" i="4"/>
  <c r="H387" i="4" s="1"/>
  <c r="G419" i="4"/>
  <c r="H419" i="4" s="1"/>
  <c r="G36" i="4"/>
  <c r="H36" i="4" s="1"/>
  <c r="G59" i="4"/>
  <c r="H59" i="4" s="1"/>
  <c r="G92" i="4"/>
  <c r="H92" i="4" s="1"/>
  <c r="G151" i="4"/>
  <c r="H151" i="4" s="1"/>
  <c r="G181" i="4"/>
  <c r="H181" i="4" s="1"/>
  <c r="G213" i="4"/>
  <c r="H213" i="4" s="1"/>
  <c r="G266" i="4"/>
  <c r="H266" i="4" s="1"/>
  <c r="G388" i="4"/>
  <c r="H388" i="4" s="1"/>
  <c r="G421" i="4"/>
  <c r="H421" i="4" s="1"/>
  <c r="G37" i="4"/>
  <c r="H37" i="4" s="1"/>
  <c r="G60" i="4"/>
  <c r="H60" i="4" s="1"/>
  <c r="G99" i="4"/>
  <c r="H99" i="4" s="1"/>
  <c r="G243" i="4"/>
  <c r="H243" i="4" s="1"/>
  <c r="G267" i="4"/>
  <c r="H267" i="4" s="1"/>
  <c r="G359" i="4"/>
  <c r="H359" i="4" s="1"/>
  <c r="G389" i="4"/>
  <c r="H389" i="4" s="1"/>
  <c r="G67" i="4"/>
  <c r="H67" i="4" s="1"/>
  <c r="G100" i="4"/>
  <c r="H100" i="4" s="1"/>
  <c r="G183" i="4"/>
  <c r="H183" i="4" s="1"/>
  <c r="G244" i="4"/>
  <c r="H244" i="4" s="1"/>
  <c r="G275" i="4"/>
  <c r="H275" i="4" s="1"/>
  <c r="G360" i="4"/>
  <c r="H360" i="4" s="1"/>
  <c r="D269" i="4"/>
  <c r="I269" i="4" s="1"/>
  <c r="D186" i="4"/>
  <c r="I186" i="4" s="1"/>
  <c r="D396" i="4"/>
  <c r="I396" i="4" s="1"/>
  <c r="D268" i="4"/>
  <c r="I268" i="4" s="1"/>
  <c r="D185" i="4"/>
  <c r="I185" i="4" s="1"/>
  <c r="D140" i="4"/>
  <c r="I140" i="4" s="1"/>
  <c r="D103" i="4"/>
  <c r="I103" i="4" s="1"/>
  <c r="G69" i="4"/>
  <c r="H69" i="4" s="1"/>
  <c r="G101" i="4"/>
  <c r="H101" i="4" s="1"/>
  <c r="G124" i="4"/>
  <c r="H124" i="4" s="1"/>
  <c r="G245" i="4"/>
  <c r="H245" i="4" s="1"/>
  <c r="G276" i="4"/>
  <c r="H276" i="4" s="1"/>
  <c r="G131" i="4"/>
  <c r="H131" i="4" s="1"/>
  <c r="G156" i="4"/>
  <c r="H156" i="4" s="1"/>
  <c r="G277" i="4"/>
  <c r="H277" i="4" s="1"/>
  <c r="G307" i="4"/>
  <c r="H307" i="4" s="1"/>
  <c r="G362" i="4"/>
  <c r="H362" i="4" s="1"/>
  <c r="D11" i="4"/>
  <c r="I11" i="4" s="1"/>
  <c r="D301" i="4"/>
  <c r="I301" i="4" s="1"/>
  <c r="D45" i="4"/>
  <c r="I45" i="4" s="1"/>
  <c r="G133" i="4"/>
  <c r="H133" i="4" s="1"/>
  <c r="G163" i="4"/>
  <c r="H163" i="4" s="1"/>
  <c r="G308" i="4"/>
  <c r="H308" i="4" s="1"/>
  <c r="G363" i="4"/>
  <c r="H363" i="4" s="1"/>
  <c r="D17" i="4"/>
  <c r="I17" i="4" s="1"/>
  <c r="G17" i="4"/>
  <c r="H17" i="4" s="1"/>
  <c r="D433" i="4"/>
  <c r="I433" i="4" s="1"/>
  <c r="G433" i="4"/>
  <c r="H433" i="4" s="1"/>
  <c r="D417" i="4"/>
  <c r="I417" i="4" s="1"/>
  <c r="G417" i="4"/>
  <c r="H417" i="4" s="1"/>
  <c r="D401" i="4"/>
  <c r="I401" i="4" s="1"/>
  <c r="G401" i="4"/>
  <c r="H401" i="4" s="1"/>
  <c r="D385" i="4"/>
  <c r="I385" i="4" s="1"/>
  <c r="G385" i="4"/>
  <c r="H385" i="4" s="1"/>
  <c r="D369" i="4"/>
  <c r="I369" i="4" s="1"/>
  <c r="G369" i="4"/>
  <c r="H369" i="4" s="1"/>
  <c r="D353" i="4"/>
  <c r="I353" i="4" s="1"/>
  <c r="G353" i="4"/>
  <c r="H353" i="4" s="1"/>
  <c r="D337" i="4"/>
  <c r="I337" i="4" s="1"/>
  <c r="G337" i="4"/>
  <c r="H337" i="4" s="1"/>
  <c r="D321" i="4"/>
  <c r="I321" i="4" s="1"/>
  <c r="G321" i="4"/>
  <c r="H321" i="4" s="1"/>
  <c r="D305" i="4"/>
  <c r="I305" i="4" s="1"/>
  <c r="G305" i="4"/>
  <c r="H305" i="4" s="1"/>
  <c r="D289" i="4"/>
  <c r="I289" i="4" s="1"/>
  <c r="G289" i="4"/>
  <c r="H289" i="4" s="1"/>
  <c r="D273" i="4"/>
  <c r="I273" i="4" s="1"/>
  <c r="G273" i="4"/>
  <c r="H273" i="4" s="1"/>
  <c r="D257" i="4"/>
  <c r="I257" i="4" s="1"/>
  <c r="G257" i="4"/>
  <c r="H257" i="4" s="1"/>
  <c r="D241" i="4"/>
  <c r="I241" i="4" s="1"/>
  <c r="G241" i="4"/>
  <c r="H241" i="4" s="1"/>
  <c r="D225" i="4"/>
  <c r="I225" i="4" s="1"/>
  <c r="G225" i="4"/>
  <c r="H225" i="4" s="1"/>
  <c r="D209" i="4"/>
  <c r="I209" i="4" s="1"/>
  <c r="G209" i="4"/>
  <c r="H209" i="4" s="1"/>
  <c r="D193" i="4"/>
  <c r="I193" i="4" s="1"/>
  <c r="G193" i="4"/>
  <c r="H193" i="4" s="1"/>
  <c r="D177" i="4"/>
  <c r="I177" i="4" s="1"/>
  <c r="G177" i="4"/>
  <c r="H177" i="4" s="1"/>
  <c r="D161" i="4"/>
  <c r="I161" i="4" s="1"/>
  <c r="G161" i="4"/>
  <c r="H161" i="4" s="1"/>
  <c r="D145" i="4"/>
  <c r="I145" i="4" s="1"/>
  <c r="G145" i="4"/>
  <c r="H145" i="4" s="1"/>
  <c r="D129" i="4"/>
  <c r="I129" i="4" s="1"/>
  <c r="G129" i="4"/>
  <c r="H129" i="4" s="1"/>
  <c r="D113" i="4"/>
  <c r="I113" i="4" s="1"/>
  <c r="G113" i="4"/>
  <c r="H113" i="4" s="1"/>
  <c r="D97" i="4"/>
  <c r="I97" i="4" s="1"/>
  <c r="G97" i="4"/>
  <c r="H97" i="4" s="1"/>
  <c r="D81" i="4"/>
  <c r="I81" i="4" s="1"/>
  <c r="G81" i="4"/>
  <c r="H81" i="4" s="1"/>
  <c r="D65" i="4"/>
  <c r="I65" i="4" s="1"/>
  <c r="G65" i="4"/>
  <c r="H65" i="4" s="1"/>
  <c r="D49" i="4"/>
  <c r="I49" i="4" s="1"/>
  <c r="G49" i="4"/>
  <c r="H49" i="4" s="1"/>
  <c r="D33" i="4"/>
  <c r="I33" i="4" s="1"/>
  <c r="G33" i="4"/>
  <c r="H33" i="4" s="1"/>
  <c r="D16" i="4"/>
  <c r="I16" i="4" s="1"/>
  <c r="G16" i="4"/>
  <c r="H16" i="4" s="1"/>
  <c r="D432" i="4"/>
  <c r="I432" i="4" s="1"/>
  <c r="G432" i="4"/>
  <c r="H432" i="4" s="1"/>
  <c r="D416" i="4"/>
  <c r="I416" i="4" s="1"/>
  <c r="G416" i="4"/>
  <c r="H416" i="4" s="1"/>
  <c r="D400" i="4"/>
  <c r="I400" i="4" s="1"/>
  <c r="G400" i="4"/>
  <c r="H400" i="4" s="1"/>
  <c r="D384" i="4"/>
  <c r="I384" i="4" s="1"/>
  <c r="G384" i="4"/>
  <c r="H384" i="4" s="1"/>
  <c r="D368" i="4"/>
  <c r="I368" i="4" s="1"/>
  <c r="G368" i="4"/>
  <c r="H368" i="4" s="1"/>
  <c r="D352" i="4"/>
  <c r="I352" i="4" s="1"/>
  <c r="G352" i="4"/>
  <c r="H352" i="4" s="1"/>
  <c r="D336" i="4"/>
  <c r="I336" i="4" s="1"/>
  <c r="G336" i="4"/>
  <c r="H336" i="4" s="1"/>
  <c r="D320" i="4"/>
  <c r="I320" i="4" s="1"/>
  <c r="G320" i="4"/>
  <c r="H320" i="4" s="1"/>
  <c r="D304" i="4"/>
  <c r="I304" i="4" s="1"/>
  <c r="G304" i="4"/>
  <c r="H304" i="4" s="1"/>
  <c r="D288" i="4"/>
  <c r="I288" i="4" s="1"/>
  <c r="G288" i="4"/>
  <c r="H288" i="4" s="1"/>
  <c r="D272" i="4"/>
  <c r="I272" i="4" s="1"/>
  <c r="G272" i="4"/>
  <c r="H272" i="4" s="1"/>
  <c r="D256" i="4"/>
  <c r="I256" i="4" s="1"/>
  <c r="G256" i="4"/>
  <c r="H256" i="4" s="1"/>
  <c r="D240" i="4"/>
  <c r="I240" i="4" s="1"/>
  <c r="G240" i="4"/>
  <c r="H240" i="4" s="1"/>
  <c r="D224" i="4"/>
  <c r="I224" i="4" s="1"/>
  <c r="G224" i="4"/>
  <c r="H224" i="4" s="1"/>
  <c r="D208" i="4"/>
  <c r="I208" i="4" s="1"/>
  <c r="G208" i="4"/>
  <c r="H208" i="4" s="1"/>
  <c r="D192" i="4"/>
  <c r="I192" i="4" s="1"/>
  <c r="G192" i="4"/>
  <c r="H192" i="4" s="1"/>
  <c r="D176" i="4"/>
  <c r="I176" i="4" s="1"/>
  <c r="G176" i="4"/>
  <c r="H176" i="4" s="1"/>
  <c r="D160" i="4"/>
  <c r="I160" i="4" s="1"/>
  <c r="G160" i="4"/>
  <c r="H160" i="4" s="1"/>
  <c r="D144" i="4"/>
  <c r="I144" i="4" s="1"/>
  <c r="G144" i="4"/>
  <c r="H144" i="4" s="1"/>
  <c r="D128" i="4"/>
  <c r="I128" i="4" s="1"/>
  <c r="G128" i="4"/>
  <c r="H128" i="4" s="1"/>
  <c r="D112" i="4"/>
  <c r="I112" i="4" s="1"/>
  <c r="G112" i="4"/>
  <c r="H112" i="4" s="1"/>
  <c r="D96" i="4"/>
  <c r="I96" i="4" s="1"/>
  <c r="G96" i="4"/>
  <c r="H96" i="4" s="1"/>
  <c r="D80" i="4"/>
  <c r="I80" i="4" s="1"/>
  <c r="G80" i="4"/>
  <c r="H80" i="4" s="1"/>
  <c r="D64" i="4"/>
  <c r="I64" i="4" s="1"/>
  <c r="G64" i="4"/>
  <c r="H64" i="4" s="1"/>
  <c r="D48" i="4"/>
  <c r="I48" i="4" s="1"/>
  <c r="G48" i="4"/>
  <c r="H48" i="4" s="1"/>
  <c r="D32" i="4"/>
  <c r="I32" i="4" s="1"/>
  <c r="G32" i="4"/>
  <c r="H32" i="4" s="1"/>
  <c r="D15" i="4"/>
  <c r="I15" i="4" s="1"/>
  <c r="G15" i="4"/>
  <c r="H15" i="4" s="1"/>
  <c r="D431" i="4"/>
  <c r="I431" i="4" s="1"/>
  <c r="G431" i="4"/>
  <c r="H431" i="4" s="1"/>
  <c r="D415" i="4"/>
  <c r="I415" i="4" s="1"/>
  <c r="G415" i="4"/>
  <c r="H415" i="4" s="1"/>
  <c r="D399" i="4"/>
  <c r="I399" i="4" s="1"/>
  <c r="G399" i="4"/>
  <c r="H399" i="4" s="1"/>
  <c r="D383" i="4"/>
  <c r="I383" i="4" s="1"/>
  <c r="G383" i="4"/>
  <c r="H383" i="4" s="1"/>
  <c r="D367" i="4"/>
  <c r="I367" i="4" s="1"/>
  <c r="G367" i="4"/>
  <c r="H367" i="4" s="1"/>
  <c r="D351" i="4"/>
  <c r="I351" i="4" s="1"/>
  <c r="G351" i="4"/>
  <c r="H351" i="4" s="1"/>
  <c r="D335" i="4"/>
  <c r="I335" i="4" s="1"/>
  <c r="G335" i="4"/>
  <c r="H335" i="4" s="1"/>
  <c r="D319" i="4"/>
  <c r="I319" i="4" s="1"/>
  <c r="G319" i="4"/>
  <c r="H319" i="4" s="1"/>
  <c r="D303" i="4"/>
  <c r="I303" i="4" s="1"/>
  <c r="G303" i="4"/>
  <c r="H303" i="4" s="1"/>
  <c r="D287" i="4"/>
  <c r="I287" i="4" s="1"/>
  <c r="G287" i="4"/>
  <c r="H287" i="4" s="1"/>
  <c r="D271" i="4"/>
  <c r="I271" i="4" s="1"/>
  <c r="G271" i="4"/>
  <c r="H271" i="4" s="1"/>
  <c r="D255" i="4"/>
  <c r="I255" i="4" s="1"/>
  <c r="G255" i="4"/>
  <c r="H255" i="4" s="1"/>
  <c r="D239" i="4"/>
  <c r="I239" i="4" s="1"/>
  <c r="G239" i="4"/>
  <c r="H239" i="4" s="1"/>
  <c r="D223" i="4"/>
  <c r="I223" i="4" s="1"/>
  <c r="G223" i="4"/>
  <c r="H223" i="4" s="1"/>
  <c r="D207" i="4"/>
  <c r="I207" i="4" s="1"/>
  <c r="G207" i="4"/>
  <c r="H207" i="4" s="1"/>
  <c r="D191" i="4"/>
  <c r="I191" i="4" s="1"/>
  <c r="G191" i="4"/>
  <c r="H191" i="4" s="1"/>
  <c r="D175" i="4"/>
  <c r="I175" i="4" s="1"/>
  <c r="G175" i="4"/>
  <c r="H175" i="4" s="1"/>
  <c r="D159" i="4"/>
  <c r="I159" i="4" s="1"/>
  <c r="G159" i="4"/>
  <c r="H159" i="4" s="1"/>
  <c r="D143" i="4"/>
  <c r="I143" i="4" s="1"/>
  <c r="G143" i="4"/>
  <c r="H143" i="4" s="1"/>
  <c r="D127" i="4"/>
  <c r="I127" i="4" s="1"/>
  <c r="G127" i="4"/>
  <c r="H127" i="4" s="1"/>
  <c r="D111" i="4"/>
  <c r="I111" i="4" s="1"/>
  <c r="G111" i="4"/>
  <c r="H111" i="4" s="1"/>
  <c r="D95" i="4"/>
  <c r="I95" i="4" s="1"/>
  <c r="G95" i="4"/>
  <c r="H95" i="4" s="1"/>
  <c r="D79" i="4"/>
  <c r="I79" i="4" s="1"/>
  <c r="G79" i="4"/>
  <c r="H79" i="4" s="1"/>
  <c r="D63" i="4"/>
  <c r="I63" i="4" s="1"/>
  <c r="G63" i="4"/>
  <c r="H63" i="4" s="1"/>
  <c r="D47" i="4"/>
  <c r="I47" i="4" s="1"/>
  <c r="G47" i="4"/>
  <c r="H47" i="4" s="1"/>
  <c r="D31" i="4"/>
  <c r="I31" i="4" s="1"/>
  <c r="G31" i="4"/>
  <c r="H31" i="4" s="1"/>
  <c r="D14" i="4"/>
  <c r="I14" i="4" s="1"/>
  <c r="G14" i="4"/>
  <c r="H14" i="4" s="1"/>
  <c r="D430" i="4"/>
  <c r="I430" i="4" s="1"/>
  <c r="G430" i="4"/>
  <c r="H430" i="4" s="1"/>
  <c r="D414" i="4"/>
  <c r="I414" i="4" s="1"/>
  <c r="G414" i="4"/>
  <c r="H414" i="4" s="1"/>
  <c r="D398" i="4"/>
  <c r="I398" i="4" s="1"/>
  <c r="G398" i="4"/>
  <c r="H398" i="4" s="1"/>
  <c r="D382" i="4"/>
  <c r="I382" i="4" s="1"/>
  <c r="G382" i="4"/>
  <c r="H382" i="4" s="1"/>
  <c r="D366" i="4"/>
  <c r="I366" i="4" s="1"/>
  <c r="G366" i="4"/>
  <c r="H366" i="4" s="1"/>
  <c r="D350" i="4"/>
  <c r="I350" i="4" s="1"/>
  <c r="G350" i="4"/>
  <c r="H350" i="4" s="1"/>
  <c r="D334" i="4"/>
  <c r="I334" i="4" s="1"/>
  <c r="G334" i="4"/>
  <c r="H334" i="4" s="1"/>
  <c r="D318" i="4"/>
  <c r="I318" i="4" s="1"/>
  <c r="G318" i="4"/>
  <c r="H318" i="4" s="1"/>
  <c r="D302" i="4"/>
  <c r="I302" i="4" s="1"/>
  <c r="G302" i="4"/>
  <c r="H302" i="4" s="1"/>
  <c r="D286" i="4"/>
  <c r="I286" i="4" s="1"/>
  <c r="G286" i="4"/>
  <c r="H286" i="4" s="1"/>
  <c r="D270" i="4"/>
  <c r="I270" i="4" s="1"/>
  <c r="G270" i="4"/>
  <c r="H270" i="4" s="1"/>
  <c r="D254" i="4"/>
  <c r="I254" i="4" s="1"/>
  <c r="G254" i="4"/>
  <c r="H254" i="4" s="1"/>
  <c r="D238" i="4"/>
  <c r="I238" i="4" s="1"/>
  <c r="G238" i="4"/>
  <c r="H238" i="4" s="1"/>
  <c r="D222" i="4"/>
  <c r="I222" i="4" s="1"/>
  <c r="G222" i="4"/>
  <c r="H222" i="4" s="1"/>
  <c r="D206" i="4"/>
  <c r="I206" i="4" s="1"/>
  <c r="G206" i="4"/>
  <c r="H206" i="4" s="1"/>
  <c r="D190" i="4"/>
  <c r="I190" i="4" s="1"/>
  <c r="G190" i="4"/>
  <c r="H190" i="4" s="1"/>
  <c r="D174" i="4"/>
  <c r="I174" i="4" s="1"/>
  <c r="G174" i="4"/>
  <c r="H174" i="4" s="1"/>
  <c r="D158" i="4"/>
  <c r="I158" i="4" s="1"/>
  <c r="G158" i="4"/>
  <c r="H158" i="4" s="1"/>
  <c r="D142" i="4"/>
  <c r="I142" i="4" s="1"/>
  <c r="G142" i="4"/>
  <c r="H142" i="4" s="1"/>
  <c r="D126" i="4"/>
  <c r="I126" i="4" s="1"/>
  <c r="G126" i="4"/>
  <c r="H126" i="4" s="1"/>
  <c r="D110" i="4"/>
  <c r="I110" i="4" s="1"/>
  <c r="G110" i="4"/>
  <c r="H110" i="4" s="1"/>
  <c r="D94" i="4"/>
  <c r="I94" i="4" s="1"/>
  <c r="G94" i="4"/>
  <c r="H94" i="4" s="1"/>
  <c r="D78" i="4"/>
  <c r="I78" i="4" s="1"/>
  <c r="G78" i="4"/>
  <c r="H78" i="4" s="1"/>
  <c r="D62" i="4"/>
  <c r="I62" i="4" s="1"/>
  <c r="G62" i="4"/>
  <c r="H62" i="4" s="1"/>
  <c r="D46" i="4"/>
  <c r="I46" i="4" s="1"/>
  <c r="G46" i="4"/>
  <c r="H46" i="4" s="1"/>
  <c r="D13" i="4"/>
  <c r="I13" i="4" s="1"/>
  <c r="G13" i="4"/>
  <c r="H13" i="4" s="1"/>
  <c r="D413" i="4"/>
  <c r="I413" i="4" s="1"/>
  <c r="G413" i="4"/>
  <c r="H413" i="4" s="1"/>
  <c r="D381" i="4"/>
  <c r="I381" i="4" s="1"/>
  <c r="G381" i="4"/>
  <c r="H381" i="4" s="1"/>
  <c r="D349" i="4"/>
  <c r="I349" i="4" s="1"/>
  <c r="G349" i="4"/>
  <c r="H349" i="4" s="1"/>
  <c r="D317" i="4"/>
  <c r="I317" i="4" s="1"/>
  <c r="G317" i="4"/>
  <c r="H317" i="4" s="1"/>
  <c r="D285" i="4"/>
  <c r="I285" i="4" s="1"/>
  <c r="G285" i="4"/>
  <c r="H285" i="4" s="1"/>
  <c r="D253" i="4"/>
  <c r="I253" i="4" s="1"/>
  <c r="G253" i="4"/>
  <c r="H253" i="4" s="1"/>
  <c r="D221" i="4"/>
  <c r="I221" i="4" s="1"/>
  <c r="G221" i="4"/>
  <c r="H221" i="4" s="1"/>
  <c r="D189" i="4"/>
  <c r="I189" i="4" s="1"/>
  <c r="G189" i="4"/>
  <c r="H189" i="4" s="1"/>
  <c r="D157" i="4"/>
  <c r="I157" i="4" s="1"/>
  <c r="G157" i="4"/>
  <c r="H157" i="4" s="1"/>
  <c r="D125" i="4"/>
  <c r="I125" i="4" s="1"/>
  <c r="G125" i="4"/>
  <c r="H125" i="4" s="1"/>
  <c r="D93" i="4"/>
  <c r="I93" i="4" s="1"/>
  <c r="G93" i="4"/>
  <c r="H93" i="4" s="1"/>
  <c r="D61" i="4"/>
  <c r="I61" i="4" s="1"/>
  <c r="G61" i="4"/>
  <c r="H61" i="4" s="1"/>
  <c r="D30" i="4"/>
  <c r="I30" i="4" s="1"/>
  <c r="D333" i="4"/>
  <c r="I333" i="4" s="1"/>
  <c r="D77" i="4"/>
  <c r="I77" i="4" s="1"/>
  <c r="D29" i="4"/>
  <c r="I29" i="4" s="1"/>
  <c r="G91" i="4"/>
  <c r="H91" i="4" s="1"/>
  <c r="G219" i="4"/>
  <c r="H219" i="4" s="1"/>
  <c r="G347" i="4"/>
  <c r="H347" i="4" s="1"/>
  <c r="D365" i="4"/>
  <c r="I365" i="4" s="1"/>
  <c r="D331" i="4"/>
  <c r="I331" i="4" s="1"/>
  <c r="D109" i="4"/>
  <c r="I109" i="4" s="1"/>
  <c r="D75" i="4"/>
  <c r="I75" i="4" s="1"/>
  <c r="D27" i="4"/>
  <c r="I27" i="4" s="1"/>
  <c r="G171" i="4"/>
  <c r="H171" i="4" s="1"/>
  <c r="D397" i="4"/>
  <c r="I397" i="4" s="1"/>
  <c r="D251" i="4"/>
  <c r="I251" i="4" s="1"/>
  <c r="D141" i="4"/>
  <c r="I141" i="4" s="1"/>
  <c r="D429" i="4"/>
  <c r="I429" i="4" s="1"/>
  <c r="D283" i="4"/>
  <c r="I283" i="4" s="1"/>
  <c r="D173" i="4"/>
  <c r="I173" i="4" s="1"/>
  <c r="G203" i="4"/>
  <c r="H203" i="4" s="1"/>
  <c r="D427" i="4"/>
  <c r="I427" i="4" s="1"/>
  <c r="D205" i="4"/>
  <c r="I205" i="4" s="1"/>
  <c r="G132" i="4"/>
  <c r="H132" i="4" s="1"/>
  <c r="G260" i="4"/>
  <c r="H260" i="4" s="1"/>
  <c r="G83" i="4"/>
  <c r="H83" i="4" s="1"/>
  <c r="G211" i="4"/>
  <c r="H211" i="4" s="1"/>
  <c r="G339" i="4"/>
  <c r="H339" i="4" s="1"/>
  <c r="G420" i="4"/>
  <c r="H420" i="4" s="1"/>
  <c r="D237" i="4"/>
  <c r="I237" i="4" s="1"/>
  <c r="D18" i="4"/>
  <c r="I18" i="4" s="1"/>
  <c r="G18" i="4"/>
  <c r="H18" i="4" s="1"/>
  <c r="D434" i="4"/>
  <c r="I434" i="4" s="1"/>
  <c r="G434" i="4"/>
  <c r="H434" i="4" s="1"/>
  <c r="D418" i="4"/>
  <c r="I418" i="4" s="1"/>
  <c r="G418" i="4"/>
  <c r="H418" i="4" s="1"/>
  <c r="D402" i="4"/>
  <c r="I402" i="4" s="1"/>
  <c r="G402" i="4"/>
  <c r="H402" i="4" s="1"/>
  <c r="D386" i="4"/>
  <c r="I386" i="4" s="1"/>
  <c r="G386" i="4"/>
  <c r="H386" i="4" s="1"/>
  <c r="D370" i="4"/>
  <c r="I370" i="4" s="1"/>
  <c r="G370" i="4"/>
  <c r="H370" i="4" s="1"/>
  <c r="D354" i="4"/>
  <c r="I354" i="4" s="1"/>
  <c r="G354" i="4"/>
  <c r="H354" i="4" s="1"/>
  <c r="D338" i="4"/>
  <c r="I338" i="4" s="1"/>
  <c r="G338" i="4"/>
  <c r="H338" i="4" s="1"/>
  <c r="D322" i="4"/>
  <c r="I322" i="4" s="1"/>
  <c r="G322" i="4"/>
  <c r="H322" i="4" s="1"/>
  <c r="D306" i="4"/>
  <c r="I306" i="4" s="1"/>
  <c r="G306" i="4"/>
  <c r="H306" i="4" s="1"/>
  <c r="D290" i="4"/>
  <c r="I290" i="4" s="1"/>
  <c r="G290" i="4"/>
  <c r="H290" i="4" s="1"/>
  <c r="D274" i="4"/>
  <c r="I274" i="4" s="1"/>
  <c r="G274" i="4"/>
  <c r="H274" i="4" s="1"/>
  <c r="D258" i="4"/>
  <c r="I258" i="4" s="1"/>
  <c r="G258" i="4"/>
  <c r="H258" i="4" s="1"/>
  <c r="D242" i="4"/>
  <c r="I242" i="4" s="1"/>
  <c r="G242" i="4"/>
  <c r="H242" i="4" s="1"/>
  <c r="D226" i="4"/>
  <c r="I226" i="4" s="1"/>
  <c r="G226" i="4"/>
  <c r="H226" i="4" s="1"/>
  <c r="D210" i="4"/>
  <c r="I210" i="4" s="1"/>
  <c r="G210" i="4"/>
  <c r="H210" i="4" s="1"/>
  <c r="D194" i="4"/>
  <c r="I194" i="4" s="1"/>
  <c r="G194" i="4"/>
  <c r="H194" i="4" s="1"/>
  <c r="D178" i="4"/>
  <c r="I178" i="4" s="1"/>
  <c r="G178" i="4"/>
  <c r="H178" i="4" s="1"/>
  <c r="D162" i="4"/>
  <c r="I162" i="4" s="1"/>
  <c r="G162" i="4"/>
  <c r="H162" i="4" s="1"/>
  <c r="D146" i="4"/>
  <c r="I146" i="4" s="1"/>
  <c r="G146" i="4"/>
  <c r="H146" i="4" s="1"/>
  <c r="D130" i="4"/>
  <c r="I130" i="4" s="1"/>
  <c r="G130" i="4"/>
  <c r="H130" i="4" s="1"/>
  <c r="D114" i="4"/>
  <c r="I114" i="4" s="1"/>
  <c r="G114" i="4"/>
  <c r="H114" i="4" s="1"/>
  <c r="D98" i="4"/>
  <c r="I98" i="4" s="1"/>
  <c r="G98" i="4"/>
  <c r="H98" i="4" s="1"/>
  <c r="D82" i="4"/>
  <c r="I82" i="4" s="1"/>
  <c r="G82" i="4"/>
  <c r="H82" i="4" s="1"/>
  <c r="D66" i="4"/>
  <c r="I66" i="4" s="1"/>
  <c r="G66" i="4"/>
  <c r="H66" i="4" s="1"/>
  <c r="D50" i="4"/>
  <c r="I50" i="4" s="1"/>
  <c r="G50" i="4"/>
  <c r="H50" i="4" s="1"/>
  <c r="D34" i="4"/>
  <c r="I34" i="4" s="1"/>
  <c r="G34" i="4"/>
  <c r="H34" i="4" s="1"/>
  <c r="G84" i="4"/>
  <c r="H84" i="4" s="1"/>
  <c r="G212" i="4"/>
  <c r="H212" i="4" s="1"/>
  <c r="G340" i="4"/>
  <c r="H340" i="4" s="1"/>
  <c r="D412" i="4"/>
  <c r="I412" i="4" s="1"/>
  <c r="G412" i="4"/>
  <c r="H412" i="4" s="1"/>
  <c r="D380" i="4"/>
  <c r="I380" i="4" s="1"/>
  <c r="G380" i="4"/>
  <c r="H380" i="4" s="1"/>
  <c r="G12" i="4"/>
  <c r="H12" i="4" s="1"/>
  <c r="G68" i="4"/>
  <c r="H68" i="4" s="1"/>
  <c r="G196" i="4"/>
  <c r="H196" i="4" s="1"/>
  <c r="G324" i="4"/>
  <c r="H324" i="4" s="1"/>
  <c r="G404" i="4"/>
  <c r="H404" i="4" s="1"/>
</calcChain>
</file>

<file path=xl/sharedStrings.xml><?xml version="1.0" encoding="utf-8"?>
<sst xmlns="http://schemas.openxmlformats.org/spreadsheetml/2006/main" count="2114" uniqueCount="524">
  <si>
    <t>time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</si>
  <si>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</si>
  <si>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</si>
  <si>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</si>
  <si>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</si>
  <si>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</si>
  <si>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</si>
  <si>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</si>
  <si>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</si>
  <si>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</si>
  <si>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</si>
  <si>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</si>
  <si>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</si>
  <si>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djf</t>
  </si>
  <si>
    <t>mam</t>
  </si>
  <si>
    <t>jja</t>
  </si>
  <si>
    <t>son</t>
  </si>
  <si>
    <t>winter</t>
  </si>
  <si>
    <t>summer</t>
  </si>
  <si>
    <t>year</t>
  </si>
  <si>
    <t>NA</t>
  </si>
  <si>
    <t>Geschlecht - Total</t>
  </si>
  <si>
    <t>Mann</t>
  </si>
  <si>
    <t>Frau</t>
  </si>
  <si>
    <t>Monat / Jahr</t>
  </si>
  <si>
    <t xml:space="preserve">            Landeserzeugung</t>
  </si>
  <si>
    <t>Verbrauch der</t>
  </si>
  <si>
    <t>Netto-</t>
  </si>
  <si>
    <t>Einfuhr</t>
  </si>
  <si>
    <t>Ausfuhr</t>
  </si>
  <si>
    <t>Landes-</t>
  </si>
  <si>
    <t>Verluste</t>
  </si>
  <si>
    <t>Endverbrauch</t>
  </si>
  <si>
    <t>Ausfuhr- /</t>
  </si>
  <si>
    <t>Wasserkraftwerke</t>
  </si>
  <si>
    <t>Kernkraftwerke</t>
  </si>
  <si>
    <t>Konv.-therm. und</t>
  </si>
  <si>
    <t>Thermische</t>
  </si>
  <si>
    <t>Windkraft-</t>
  </si>
  <si>
    <t>Photovoltaik-</t>
  </si>
  <si>
    <t>Total</t>
  </si>
  <si>
    <t>Speicherpumpen</t>
  </si>
  <si>
    <t>erzeugung</t>
  </si>
  <si>
    <t>verbrauch</t>
  </si>
  <si>
    <t>Einfuhr-</t>
  </si>
  <si>
    <t>erneuerbare Kraftwerke</t>
  </si>
  <si>
    <t>Kraftwerke</t>
  </si>
  <si>
    <t>anlagen</t>
  </si>
  <si>
    <t>ab 2000:physikalisch</t>
  </si>
  <si>
    <t>Überschuss</t>
  </si>
  <si>
    <t>revidiert ab 2020</t>
  </si>
  <si>
    <t>Mois / Année</t>
  </si>
  <si>
    <t xml:space="preserve">          Production nationale</t>
  </si>
  <si>
    <t>Pompage</t>
  </si>
  <si>
    <t>Production</t>
  </si>
  <si>
    <t>Importation</t>
  </si>
  <si>
    <t>Exportation</t>
  </si>
  <si>
    <t>Consommation</t>
  </si>
  <si>
    <t>Pertes</t>
  </si>
  <si>
    <t>Solde</t>
  </si>
  <si>
    <t>Centrales</t>
  </si>
  <si>
    <t>Éoliennes</t>
  </si>
  <si>
    <t>Installations</t>
  </si>
  <si>
    <t>d'acccumulation</t>
  </si>
  <si>
    <t>nette</t>
  </si>
  <si>
    <t>du pays</t>
  </si>
  <si>
    <t>finale</t>
  </si>
  <si>
    <t>exportateur /</t>
  </si>
  <si>
    <t>hydrauliques</t>
  </si>
  <si>
    <t>nucléaires</t>
  </si>
  <si>
    <t>thermiques classique</t>
  </si>
  <si>
    <t>thermiques</t>
  </si>
  <si>
    <t>photovoltaïques</t>
  </si>
  <si>
    <t>dès 2000:physique</t>
  </si>
  <si>
    <t>importateur</t>
  </si>
  <si>
    <t>et renouvelables</t>
  </si>
  <si>
    <t>révisé dès 2020</t>
  </si>
  <si>
    <t>Januar / Janvier 1990</t>
  </si>
  <si>
    <t>n.a.</t>
  </si>
  <si>
    <t>Februar / Février 1990</t>
  </si>
  <si>
    <t>März / Mars 1990</t>
  </si>
  <si>
    <t>April / Avril 1990</t>
  </si>
  <si>
    <t>Mai / Mai 1990</t>
  </si>
  <si>
    <t>Juni / Juin 1990</t>
  </si>
  <si>
    <t>Juli / Juillet 1990</t>
  </si>
  <si>
    <t>August / Août 1990</t>
  </si>
  <si>
    <t>September / Septembre 1990</t>
  </si>
  <si>
    <t>Oktober / Octobre 1990</t>
  </si>
  <si>
    <t>November / Novembre 1990</t>
  </si>
  <si>
    <t>Dezember / Décembre 1990</t>
  </si>
  <si>
    <t>Januar / Janvier 1991</t>
  </si>
  <si>
    <t>Februar / Février 1991</t>
  </si>
  <si>
    <t>März / Mars 1991</t>
  </si>
  <si>
    <t>April / Avril 1991</t>
  </si>
  <si>
    <t>Mai / Mai 1991</t>
  </si>
  <si>
    <t>Juni / Juin 1991</t>
  </si>
  <si>
    <t>Juli / Juillet 1991</t>
  </si>
  <si>
    <t>August / Août 1991</t>
  </si>
  <si>
    <t>September / Septembre 1991</t>
  </si>
  <si>
    <t>Oktober / Octobre 1991</t>
  </si>
  <si>
    <t>November / Novembre 1991</t>
  </si>
  <si>
    <t>Dezember / Décembre 1991</t>
  </si>
  <si>
    <t>Januar / Janvier 1992</t>
  </si>
  <si>
    <t>Februar / Février 1992</t>
  </si>
  <si>
    <t>März / Mars 1992</t>
  </si>
  <si>
    <t>April / Avril 1992</t>
  </si>
  <si>
    <t>Mai / Mai 1992</t>
  </si>
  <si>
    <t>Juni / Juin 1992</t>
  </si>
  <si>
    <t>Juli / Juillet 1992</t>
  </si>
  <si>
    <t>August / Août 1992</t>
  </si>
  <si>
    <t>September / Septembre 1992</t>
  </si>
  <si>
    <t>Oktober / Octobre 1992</t>
  </si>
  <si>
    <t>November / Novembre 1992</t>
  </si>
  <si>
    <t>Dezember / Décembre 1992</t>
  </si>
  <si>
    <t>Januar / Janvier 1993</t>
  </si>
  <si>
    <t>Februar / Février 1993</t>
  </si>
  <si>
    <t>März / Mars 1993</t>
  </si>
  <si>
    <t>April / Avril 1993</t>
  </si>
  <si>
    <t>Mai / Mai 1993</t>
  </si>
  <si>
    <t>Juni / Juin 1993</t>
  </si>
  <si>
    <t>Juli / Juillet 1993</t>
  </si>
  <si>
    <t>August / Août 1993</t>
  </si>
  <si>
    <t>September / Septembre 1993</t>
  </si>
  <si>
    <t>Oktober / Octobre 1993</t>
  </si>
  <si>
    <t>November / Novembre 1993</t>
  </si>
  <si>
    <t>Dezember / Décembre 1993</t>
  </si>
  <si>
    <t>Januar / Janvier 1994</t>
  </si>
  <si>
    <t>Februar / Février 1994</t>
  </si>
  <si>
    <t>März / Mars 1994</t>
  </si>
  <si>
    <t>April / Avril 1994</t>
  </si>
  <si>
    <t>Mai / Mai 1994</t>
  </si>
  <si>
    <t>Juni / Juin 1994</t>
  </si>
  <si>
    <t>Juli / Juillet 1994</t>
  </si>
  <si>
    <t>August / Août 1994</t>
  </si>
  <si>
    <t>September / Septembre 1994</t>
  </si>
  <si>
    <t>Oktober / Octobre 1994</t>
  </si>
  <si>
    <t>November / Novembre 1994</t>
  </si>
  <si>
    <t>Dezember / Décembre 1994</t>
  </si>
  <si>
    <t>Januar / Janvier 1995</t>
  </si>
  <si>
    <t>Februar / Février 1995</t>
  </si>
  <si>
    <t>März / Mars 1995</t>
  </si>
  <si>
    <t>April / Avril 1995</t>
  </si>
  <si>
    <t>Mai / Mai 1995</t>
  </si>
  <si>
    <t>Juni / Juin 1995</t>
  </si>
  <si>
    <t>Juli / Juillet 1995</t>
  </si>
  <si>
    <t>August / Août 1995</t>
  </si>
  <si>
    <t>September / Septembre 1995</t>
  </si>
  <si>
    <t>Oktober / Octobre 1995</t>
  </si>
  <si>
    <t>November / Novembre 1995</t>
  </si>
  <si>
    <t>Dezember / Décembre 1995</t>
  </si>
  <si>
    <t>Januar / Janvier 1996</t>
  </si>
  <si>
    <t>Februar / Février 1996</t>
  </si>
  <si>
    <t>März / Mars 1996</t>
  </si>
  <si>
    <t>April / Avril 1996</t>
  </si>
  <si>
    <t>Mai / Mai 1996</t>
  </si>
  <si>
    <t>Juni / Juin 1996</t>
  </si>
  <si>
    <t>Juli / Juillet 1996</t>
  </si>
  <si>
    <t>August / Août 1996</t>
  </si>
  <si>
    <t>September / Septembre 1996</t>
  </si>
  <si>
    <t>Oktober / Octobre 1996</t>
  </si>
  <si>
    <t>November / Novembre 1996</t>
  </si>
  <si>
    <t>Dezember / Décembre 1996</t>
  </si>
  <si>
    <t>Januar / Janvier 1997</t>
  </si>
  <si>
    <t>Februar / Février 1997</t>
  </si>
  <si>
    <t>März / Mars 1997</t>
  </si>
  <si>
    <t>April / Avril 1997</t>
  </si>
  <si>
    <t>Mai / Mai 1997</t>
  </si>
  <si>
    <t>Juni / Juin 1997</t>
  </si>
  <si>
    <t>Juli / Juillet 1997</t>
  </si>
  <si>
    <t>August / Août 1997</t>
  </si>
  <si>
    <t>September / Septembre 1997</t>
  </si>
  <si>
    <t>Oktober / Octobre 1997</t>
  </si>
  <si>
    <t>November / Novembre 1997</t>
  </si>
  <si>
    <t>Dezember / Décembre 1997</t>
  </si>
  <si>
    <t>Januar / Janvier 1998</t>
  </si>
  <si>
    <t>Februar / Février 1998</t>
  </si>
  <si>
    <t>März / Mars 1998</t>
  </si>
  <si>
    <t>April / Avril 1998</t>
  </si>
  <si>
    <t>Mai / Mai 1998</t>
  </si>
  <si>
    <t>Juni / Juin 1998</t>
  </si>
  <si>
    <t>Juli / Juillet 1998</t>
  </si>
  <si>
    <t>August / Août 1998</t>
  </si>
  <si>
    <t>September / Septembre 1998</t>
  </si>
  <si>
    <t>Oktober / Octobre 1998</t>
  </si>
  <si>
    <t>November / Novembre 1998</t>
  </si>
  <si>
    <t>Dezember / Décembre 1998</t>
  </si>
  <si>
    <t>Januar / Janvier 1999</t>
  </si>
  <si>
    <t>Februar / Février 1999</t>
  </si>
  <si>
    <t>März / Mars 1999</t>
  </si>
  <si>
    <t>April / Avril 1999</t>
  </si>
  <si>
    <t>Mai / Mai 1999</t>
  </si>
  <si>
    <t>Juni / Juin 1999</t>
  </si>
  <si>
    <t>Juli / Juillet 1999</t>
  </si>
  <si>
    <t>August / Août 1999</t>
  </si>
  <si>
    <t>September / Septembre 1999</t>
  </si>
  <si>
    <t>Oktober / Octobre 1999</t>
  </si>
  <si>
    <t>November / Novembre 1999</t>
  </si>
  <si>
    <t>Dezember / Décembre 1999</t>
  </si>
  <si>
    <t>Januar / Janvier 2000</t>
  </si>
  <si>
    <t>Februar / Février 2000</t>
  </si>
  <si>
    <t>März / Mars 2000</t>
  </si>
  <si>
    <t>April / Avril 2000</t>
  </si>
  <si>
    <t>Mai / Mai 2000</t>
  </si>
  <si>
    <t>Juni / Juin 2000</t>
  </si>
  <si>
    <t>Juli / Juillet 2000</t>
  </si>
  <si>
    <t>August / Août 2000</t>
  </si>
  <si>
    <t>September / Septembre 2000</t>
  </si>
  <si>
    <t>Oktober / Octobre 2000</t>
  </si>
  <si>
    <t>November / Novembre 2000</t>
  </si>
  <si>
    <t>Dezember / Décembre 2000</t>
  </si>
  <si>
    <t>Januar / Janvier 2001</t>
  </si>
  <si>
    <t>Februar / Février 2001</t>
  </si>
  <si>
    <t>März / Mars 2001</t>
  </si>
  <si>
    <t>April / Avril 2001</t>
  </si>
  <si>
    <t>Mai / Mai 2001</t>
  </si>
  <si>
    <t>Juni / Juin 2001</t>
  </si>
  <si>
    <t>Juli / Juillet 2001</t>
  </si>
  <si>
    <t>August / Août 2001</t>
  </si>
  <si>
    <t>September / Septembre 2001</t>
  </si>
  <si>
    <t>Oktober / Octobre 2001</t>
  </si>
  <si>
    <t>November / Novembre 2001</t>
  </si>
  <si>
    <t>Dezember / Décembre 2001</t>
  </si>
  <si>
    <t>Januar / Janvier 2002</t>
  </si>
  <si>
    <t>Februar / Février 2002</t>
  </si>
  <si>
    <t>März / Mars 2002</t>
  </si>
  <si>
    <t>April / Avril 2002</t>
  </si>
  <si>
    <t>Mai / Mai 2002</t>
  </si>
  <si>
    <t>Juni / Juin 2002</t>
  </si>
  <si>
    <t>Juli / Juillet 2002</t>
  </si>
  <si>
    <t>August / Août 2002</t>
  </si>
  <si>
    <t>September / Septembre 2002</t>
  </si>
  <si>
    <t>Oktober / Octobre 2002</t>
  </si>
  <si>
    <t>November / Novembre 2002</t>
  </si>
  <si>
    <t>Dezember / Décembre 2002</t>
  </si>
  <si>
    <t>Januar / Janvier 2003</t>
  </si>
  <si>
    <t>Februar / Février 2003</t>
  </si>
  <si>
    <t>März / Mars 2003</t>
  </si>
  <si>
    <t>April / Avril 2003</t>
  </si>
  <si>
    <t>Mai / Mai 2003</t>
  </si>
  <si>
    <t>Juni / Juin 2003</t>
  </si>
  <si>
    <t>Juli / Juillet 2003</t>
  </si>
  <si>
    <t>August / Août 2003</t>
  </si>
  <si>
    <t>September / Septembre 2003</t>
  </si>
  <si>
    <t>Oktober / Octobre 2003</t>
  </si>
  <si>
    <t>November / Novembre 2003</t>
  </si>
  <si>
    <t>Dezember / Décembre 2003</t>
  </si>
  <si>
    <t>Januar / Janvier 2004</t>
  </si>
  <si>
    <t>Februar / Février 2004</t>
  </si>
  <si>
    <t>März / Mars 2004</t>
  </si>
  <si>
    <t>April / Avril 2004</t>
  </si>
  <si>
    <t>Mai / Mai 2004</t>
  </si>
  <si>
    <t>Juni / Juin 2004</t>
  </si>
  <si>
    <t>Juli / Juillet 2004</t>
  </si>
  <si>
    <t>August / Août 2004</t>
  </si>
  <si>
    <t>September / Septembre 2004</t>
  </si>
  <si>
    <t>Oktober / Octobre 2004</t>
  </si>
  <si>
    <t>November / Novembre 2004</t>
  </si>
  <si>
    <t>Dezember / Décembre 2004</t>
  </si>
  <si>
    <t>Januar / Janvier 2005</t>
  </si>
  <si>
    <t>Februar / Février 2005</t>
  </si>
  <si>
    <t>März / Mars 2005</t>
  </si>
  <si>
    <t>April / Avril 2005</t>
  </si>
  <si>
    <t>Mai / Mai 2005</t>
  </si>
  <si>
    <t>Juni / Juin 2005</t>
  </si>
  <si>
    <t>Juli / Juillet 2005</t>
  </si>
  <si>
    <t>August / Août 2005</t>
  </si>
  <si>
    <t>September / Septembre 2005</t>
  </si>
  <si>
    <t>Oktober / Octobre 2005</t>
  </si>
  <si>
    <t>November / Novembre 2005</t>
  </si>
  <si>
    <t>Dezember / Décembre 2005</t>
  </si>
  <si>
    <t>Januar / Janvier 2006</t>
  </si>
  <si>
    <t>Februar / Février 2006</t>
  </si>
  <si>
    <t>März / Mars 2006</t>
  </si>
  <si>
    <t>April / Avril 2006</t>
  </si>
  <si>
    <t>Mai / Mai 2006</t>
  </si>
  <si>
    <t>Juni / Juin 2006</t>
  </si>
  <si>
    <t>Juli / Juillet 2006</t>
  </si>
  <si>
    <t>August / Août 2006</t>
  </si>
  <si>
    <t>September / Septembre 2006</t>
  </si>
  <si>
    <t>Oktober / Octobre 2006</t>
  </si>
  <si>
    <t>November / Novembre 2006</t>
  </si>
  <si>
    <t>Dezember / Décembre 2006</t>
  </si>
  <si>
    <t>Januar / Janvier 2007</t>
  </si>
  <si>
    <t>Februar / Février 2007</t>
  </si>
  <si>
    <t>März / Mars 2007</t>
  </si>
  <si>
    <t>April / Avril 2007</t>
  </si>
  <si>
    <t>Mai / Mai 2007</t>
  </si>
  <si>
    <t>Juni / Juin 2007</t>
  </si>
  <si>
    <t>Juli / Juillet 2007</t>
  </si>
  <si>
    <t>August / Août 2007</t>
  </si>
  <si>
    <t>September / Septembre 2007</t>
  </si>
  <si>
    <t>Oktober / Octobre 2007</t>
  </si>
  <si>
    <t>November / Novembre 2007</t>
  </si>
  <si>
    <t>Dezember / Décembre 2007</t>
  </si>
  <si>
    <t>Januar / Janvier 2008</t>
  </si>
  <si>
    <t>Februar / Février 2008</t>
  </si>
  <si>
    <t>März / Mars 2008</t>
  </si>
  <si>
    <t>April / Avril 2008</t>
  </si>
  <si>
    <t>Mai / Mai 2008</t>
  </si>
  <si>
    <t>Juni / Juin 2008</t>
  </si>
  <si>
    <t>Juli / Juillet 2008</t>
  </si>
  <si>
    <t>August / Août 2008</t>
  </si>
  <si>
    <t>September / Septembre 2008</t>
  </si>
  <si>
    <t>Oktober / Octobre 2008</t>
  </si>
  <si>
    <t>November / Novembre 2008</t>
  </si>
  <si>
    <t>Dezember / Décembre 2008</t>
  </si>
  <si>
    <t>Januar / Janvier 2009</t>
  </si>
  <si>
    <t>Februar / Février 2009</t>
  </si>
  <si>
    <t>März / Mars 2009</t>
  </si>
  <si>
    <t>April / Avril 2009</t>
  </si>
  <si>
    <t>Mai / Mai 2009</t>
  </si>
  <si>
    <t>Juni / Juin 2009</t>
  </si>
  <si>
    <t>Juli / Juillet 2009</t>
  </si>
  <si>
    <t>August / Août 2009</t>
  </si>
  <si>
    <t>September / Septembre 2009</t>
  </si>
  <si>
    <t>Oktober / Octobre 2009</t>
  </si>
  <si>
    <t>November / Novembre 2009</t>
  </si>
  <si>
    <t>Dezember / Décembre 2009</t>
  </si>
  <si>
    <t>Januar / Janvier 2010</t>
  </si>
  <si>
    <t>Februar / Février 2010</t>
  </si>
  <si>
    <t>März / Mars 2010</t>
  </si>
  <si>
    <t>April / Avril 2010</t>
  </si>
  <si>
    <t>Mai / Mai 2010</t>
  </si>
  <si>
    <t>Juni / Juin 2010</t>
  </si>
  <si>
    <t>Juli / Juillet 2010</t>
  </si>
  <si>
    <t>August / Août 2010</t>
  </si>
  <si>
    <t>September / Septembre 2010</t>
  </si>
  <si>
    <t>Oktober / Octobre 2010</t>
  </si>
  <si>
    <t>November / Novembre 2010</t>
  </si>
  <si>
    <t>Dezember / Décembre 2010</t>
  </si>
  <si>
    <t>Januar / Janvier 2011</t>
  </si>
  <si>
    <t>revidiert / révisé</t>
  </si>
  <si>
    <t>Februar / Février 2011</t>
  </si>
  <si>
    <t>März / Mars 2011</t>
  </si>
  <si>
    <t>April / Avril 2011</t>
  </si>
  <si>
    <t>Mai / Mai 2011</t>
  </si>
  <si>
    <t>Juni / Juin 2011</t>
  </si>
  <si>
    <t>Juli / Juillet 2011</t>
  </si>
  <si>
    <t>August / Août 2011</t>
  </si>
  <si>
    <t>September / Septembre 2011</t>
  </si>
  <si>
    <t>Oktober / Octobre 2011</t>
  </si>
  <si>
    <t>November / Novembre 2011</t>
  </si>
  <si>
    <t>Dezember / Décembre 2011</t>
  </si>
  <si>
    <t>Januar / Janvier 2012</t>
  </si>
  <si>
    <t>Februar / Février 2012</t>
  </si>
  <si>
    <t>März / Mars 2012</t>
  </si>
  <si>
    <t>April / Avril 2012</t>
  </si>
  <si>
    <t>Mai / Mai 2012</t>
  </si>
  <si>
    <t>Juni / Juin 2012</t>
  </si>
  <si>
    <t>Juli / Juillet 2012</t>
  </si>
  <si>
    <t>August / Août 2012</t>
  </si>
  <si>
    <t>September / Septembre 2012</t>
  </si>
  <si>
    <t>Oktober / Octobre 2012</t>
  </si>
  <si>
    <t>November / Novembre 2012</t>
  </si>
  <si>
    <t>Dezember / Décembre 2012</t>
  </si>
  <si>
    <t>Januar / Janvier 2013</t>
  </si>
  <si>
    <t>Februar / Février 2013</t>
  </si>
  <si>
    <t>März / Mars 2013</t>
  </si>
  <si>
    <t>April / Avril 2013</t>
  </si>
  <si>
    <t>Mai / Mai 2013</t>
  </si>
  <si>
    <t>Juni / Juin 2013</t>
  </si>
  <si>
    <t>Juli / Juillet 2013</t>
  </si>
  <si>
    <t>August / Août 2013</t>
  </si>
  <si>
    <t>September / Septembre 2013</t>
  </si>
  <si>
    <t>Oktober / Octobre 2013</t>
  </si>
  <si>
    <t>November / Novembre 2013</t>
  </si>
  <si>
    <t>Dezember / Décembre 2013</t>
  </si>
  <si>
    <t>Januar / Janvier 2014</t>
  </si>
  <si>
    <t>Februar / Février 2014</t>
  </si>
  <si>
    <t>März / Mars 2014</t>
  </si>
  <si>
    <t>April / Avril 2014</t>
  </si>
  <si>
    <t>Mai / Mai 2014</t>
  </si>
  <si>
    <t>Juni / Juin 2014</t>
  </si>
  <si>
    <t>Juli / Juillet 2014</t>
  </si>
  <si>
    <t>August / Août 2014</t>
  </si>
  <si>
    <t>September / Septembre 2014</t>
  </si>
  <si>
    <t>Oktober / Octobre 2014</t>
  </si>
  <si>
    <t>November / Novembre 2014</t>
  </si>
  <si>
    <t>Dezember / Décembre 2014</t>
  </si>
  <si>
    <t>Januar / Janvier 2015</t>
  </si>
  <si>
    <t>Februar / Février 2015</t>
  </si>
  <si>
    <t>März / Mars 2015</t>
  </si>
  <si>
    <t>April / Avril 2015</t>
  </si>
  <si>
    <t>Mai / Mai 2015</t>
  </si>
  <si>
    <t>Juni / Juin 2015</t>
  </si>
  <si>
    <t>Juli / Juillet 2015</t>
  </si>
  <si>
    <t>August / Août 2015</t>
  </si>
  <si>
    <t>September / Septembre 2015</t>
  </si>
  <si>
    <t>Oktober / Octobre 2015</t>
  </si>
  <si>
    <t>November / Novembre 2015</t>
  </si>
  <si>
    <t>Dezember / Décembre 2015</t>
  </si>
  <si>
    <t>Januar / Janvier 2016</t>
  </si>
  <si>
    <t>Februar / Février 2016</t>
  </si>
  <si>
    <t>März / Mars 2016</t>
  </si>
  <si>
    <t>April / Avril 2016</t>
  </si>
  <si>
    <t>Mai / Mai 2016</t>
  </si>
  <si>
    <t>Juni / Juin 2016</t>
  </si>
  <si>
    <t>Juli / Juillet 2016</t>
  </si>
  <si>
    <t>August / Août 2016</t>
  </si>
  <si>
    <t>September / Septembre 2016</t>
  </si>
  <si>
    <t>Oktober / Octobre 2016</t>
  </si>
  <si>
    <t>November / Novembre 2016</t>
  </si>
  <si>
    <t>Dezember / Décembre 2016</t>
  </si>
  <si>
    <t>Januar / Janvier 2017</t>
  </si>
  <si>
    <t>Februar / Février 2017</t>
  </si>
  <si>
    <t>März / Mars 2017</t>
  </si>
  <si>
    <t>April / Avril 2017</t>
  </si>
  <si>
    <t>Mai / Mai 2017</t>
  </si>
  <si>
    <t>Juni / Juin 2017</t>
  </si>
  <si>
    <t>Juli / Juillet 2017</t>
  </si>
  <si>
    <t>August / Août 2017</t>
  </si>
  <si>
    <t>September / Septembre 2017</t>
  </si>
  <si>
    <t>Oktober / Octobre 2017</t>
  </si>
  <si>
    <t>November / Novembre 2017</t>
  </si>
  <si>
    <t>Dezember / Décembre 2017</t>
  </si>
  <si>
    <t>Januar / Janvier 2018</t>
  </si>
  <si>
    <t>Februar / Février 2018</t>
  </si>
  <si>
    <t>März / Mars 2018</t>
  </si>
  <si>
    <t>April / Avril 2018</t>
  </si>
  <si>
    <t>Mai / Mai 2018</t>
  </si>
  <si>
    <t>Juni / Juin 2018</t>
  </si>
  <si>
    <t>Juli / Juillet 2018</t>
  </si>
  <si>
    <t>August / Août 2018</t>
  </si>
  <si>
    <t>September / Septembre 2018</t>
  </si>
  <si>
    <t>Oktober / Octobre 2018</t>
  </si>
  <si>
    <t>November / Novembre 2018</t>
  </si>
  <si>
    <t>Dezember / Décembre 2018</t>
  </si>
  <si>
    <t>Januar / Janvier 2019</t>
  </si>
  <si>
    <t>Februar / Février 2019</t>
  </si>
  <si>
    <t>März / Mars 2019</t>
  </si>
  <si>
    <t>April / Avril 2019</t>
  </si>
  <si>
    <t>Mai / Mai 2019</t>
  </si>
  <si>
    <t>Juni / Juin 2019</t>
  </si>
  <si>
    <t>Juli / Juillet 2019</t>
  </si>
  <si>
    <t>August / Août 2019</t>
  </si>
  <si>
    <t>September / Septembre 2019</t>
  </si>
  <si>
    <t>Oktober / Octobre 2019</t>
  </si>
  <si>
    <t>November / Novembre 2019</t>
  </si>
  <si>
    <t>Dezember / Décembre 2019</t>
  </si>
  <si>
    <t>Januar / Janvier 2020</t>
  </si>
  <si>
    <t>Februar / Février 2020</t>
  </si>
  <si>
    <t>März / Mars 2020</t>
  </si>
  <si>
    <t>April / Avril 2020</t>
  </si>
  <si>
    <t>Mai / Mai 2020</t>
  </si>
  <si>
    <t>Juni / Juin 2020</t>
  </si>
  <si>
    <t>Juli / Juillet 2020</t>
  </si>
  <si>
    <t>August / Août 2020</t>
  </si>
  <si>
    <t>September / Septembre 2020</t>
  </si>
  <si>
    <t>Oktober / Octobre 2020</t>
  </si>
  <si>
    <t>November / Novembre 2020</t>
  </si>
  <si>
    <t>Dezember / Décembre 2020</t>
  </si>
  <si>
    <t>Januar / Janvier 2021</t>
  </si>
  <si>
    <t>Februar / Février 2021</t>
  </si>
  <si>
    <t>März / Mars 2021</t>
  </si>
  <si>
    <t>April / Avril 2021</t>
  </si>
  <si>
    <t>Mai / Mai 2021</t>
  </si>
  <si>
    <t>Juni / Juin 2021</t>
  </si>
  <si>
    <t>Juli / Juillet 2021</t>
  </si>
  <si>
    <t>August / Août 2021</t>
  </si>
  <si>
    <t>September / Septembre 2021</t>
  </si>
  <si>
    <t>Oktober / Octobre 2021</t>
  </si>
  <si>
    <t>November / Novembre 2021</t>
  </si>
  <si>
    <t>Dezember / Décembre 2021</t>
  </si>
  <si>
    <t>Januar / Janvier 2022</t>
  </si>
  <si>
    <t>Februar / Février 2022</t>
  </si>
  <si>
    <t>März / Mars 2022</t>
  </si>
  <si>
    <t>April / Avril 2022</t>
  </si>
  <si>
    <t>Mai / Mai 2022</t>
  </si>
  <si>
    <t>Juni / Juin 2022</t>
  </si>
  <si>
    <t>Juli / Juillet 2022</t>
  </si>
  <si>
    <t>August / Août 2022</t>
  </si>
  <si>
    <t>September / Septembre 2022</t>
  </si>
  <si>
    <t>Oktober / Octobre 2022</t>
  </si>
  <si>
    <t>November / Novembre 2022</t>
  </si>
  <si>
    <t>Dezember / Décembre 2022</t>
  </si>
  <si>
    <t>Januar / Janvier 2023</t>
  </si>
  <si>
    <t>Februar / Février 2023</t>
  </si>
  <si>
    <t>März / Mars 2023</t>
  </si>
  <si>
    <t>April / Avril 2023</t>
  </si>
  <si>
    <t>Mai / Mai 2023</t>
  </si>
  <si>
    <t>Juni / Juin 2023</t>
  </si>
  <si>
    <t>Juli / Juillet 2023</t>
  </si>
  <si>
    <t>August / Août 2023</t>
  </si>
  <si>
    <t>September / Septembre 2023</t>
  </si>
  <si>
    <t>Oktober / Octobre 2023</t>
  </si>
  <si>
    <t>November / Novembre 2023</t>
  </si>
  <si>
    <t>Dezember / Décembre 2023</t>
  </si>
  <si>
    <t>Januar / Janvier 2024</t>
  </si>
  <si>
    <t>Februar / Février 2024</t>
  </si>
  <si>
    <t>März / Mars 2024</t>
  </si>
  <si>
    <t>April / Avril 2024</t>
  </si>
  <si>
    <t>Mai / Mai 2024</t>
  </si>
  <si>
    <t>Juni / Juin 2024</t>
  </si>
  <si>
    <t>Juli / Juillet 2024</t>
  </si>
  <si>
    <t>August / Août 2024</t>
  </si>
  <si>
    <t>September / Septembre 2024</t>
  </si>
  <si>
    <t>Oktober / Octobre 2024</t>
  </si>
  <si>
    <t>November / Novembre 2024</t>
  </si>
  <si>
    <t>Dezember / Décembre 2024</t>
  </si>
  <si>
    <t>Januar / Janvier 2025</t>
  </si>
  <si>
    <t>P</t>
  </si>
  <si>
    <t>Februar / Février 2025</t>
  </si>
  <si>
    <t>März / Mars 2025</t>
  </si>
  <si>
    <t>April / Avril 2025</t>
  </si>
  <si>
    <t>Mai / Mai 2025</t>
  </si>
  <si>
    <t>Juni / Juin 2025</t>
  </si>
  <si>
    <t>Juli / Juillet 2025</t>
  </si>
  <si>
    <t>August / Août 2025</t>
  </si>
  <si>
    <t>September / Septembre 2025</t>
  </si>
  <si>
    <t>Oktober / Octobre 2025</t>
  </si>
  <si>
    <t>November / Novembre 2025</t>
  </si>
  <si>
    <t>Dezember / Décembre 2025</t>
  </si>
  <si>
    <t>Januar / Janvier 2026</t>
  </si>
  <si>
    <t>Jahr</t>
  </si>
  <si>
    <t>Monat</t>
  </si>
  <si>
    <t>Temperatur (C°)</t>
  </si>
  <si>
    <t>Stromerzeugnisse</t>
  </si>
  <si>
    <t>Stromverbrauch</t>
  </si>
  <si>
    <t>Bevölkerung</t>
  </si>
  <si>
    <t>Stromverbrauch pro kopf</t>
  </si>
  <si>
    <t>Heizbedarf</t>
  </si>
  <si>
    <t>saison</t>
  </si>
  <si>
    <t>Deckungsgrad</t>
  </si>
  <si>
    <t>Strombilanz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</si>
</sst>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rgb="FFC00000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2"/>
    <xf numFmtId="0" fontId="3" fillId="0" borderId="0" xfId="2" applyAlignment="1" applyProtection="1">
      <alignment horizontal="left"/>
      <protection locked="0"/>
    </xf>
    <xf numFmtId="0" fontId="3" fillId="0" borderId="0" xfId="2" applyProtection="1">
      <protection locked="0"/>
    </xf>
    <xf numFmtId="0" fontId="4" fillId="0" borderId="0" xfId="2" applyFont="1" applyProtection="1">
      <protection locked="0"/>
    </xf>
    <xf numFmtId="0" fontId="3" fillId="0" borderId="0" xfId="2" applyAlignment="1" applyProtection="1">
      <alignment horizontal="center"/>
      <protection locked="0"/>
    </xf>
    <xf numFmtId="0" fontId="4" fillId="0" borderId="0" xfId="2" applyFont="1" applyAlignment="1" applyProtection="1">
      <alignment horizontal="center"/>
      <protection locked="0"/>
    </xf>
    <xf numFmtId="0" fontId="4" fillId="0" borderId="0" xfId="2" applyFont="1"/>
    <xf numFmtId="0" fontId="3" fillId="0" borderId="0" xfId="2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Font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0" fontId="9" fillId="0" borderId="0" xfId="2" applyFont="1"/>
    <xf numFmtId="0" fontId="8" fillId="0" borderId="0" xfId="2" applyFont="1" applyAlignment="1" applyProtection="1">
      <alignment horizontal="center"/>
      <protection locked="0"/>
    </xf>
    <xf numFmtId="0" fontId="9" fillId="0" borderId="0" xfId="2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center"/>
      <protection locked="0"/>
    </xf>
    <xf numFmtId="0" fontId="9" fillId="0" borderId="0" xfId="2" applyFont="1" applyAlignment="1" applyProtection="1">
      <alignment horizontal="left"/>
      <protection locked="0"/>
    </xf>
    <xf numFmtId="0" fontId="4" fillId="0" borderId="0" xfId="2" applyFont="1" applyAlignment="1" applyProtection="1">
      <alignment horizontal="left"/>
      <protection locked="0"/>
    </xf>
    <xf numFmtId="0" fontId="7" fillId="0" borderId="0" xfId="2" applyFont="1"/>
    <xf numFmtId="0" fontId="5" fillId="0" borderId="0" xfId="2" applyFont="1" applyAlignment="1">
      <alignment horizontal="center"/>
    </xf>
    <xf numFmtId="0" fontId="6" fillId="0" borderId="0" xfId="2" applyFont="1" applyAlignment="1" applyProtection="1">
      <alignment horizontal="center"/>
      <protection locked="0"/>
    </xf>
    <xf numFmtId="0" fontId="5" fillId="0" borderId="1" xfId="2" applyFont="1" applyBorder="1" applyAlignment="1" applyProtection="1">
      <alignment horizontal="center"/>
      <protection locked="0"/>
    </xf>
    <xf numFmtId="0" fontId="3" fillId="0" borderId="1" xfId="2" applyBorder="1"/>
    <xf numFmtId="164" fontId="0" fillId="0" borderId="0" xfId="1" applyNumberFormat="1" applyFont="1"/>
    <xf numFmtId="2" fontId="0" fillId="0" borderId="0" xfId="0" applyNumberFormat="1"/>
    <xf numFmtId="0" fontId="0" fillId="0" borderId="0" xfId="0" applyBorder="1"/>
    <xf numFmtId="0" fontId="3" fillId="0" borderId="0" xfId="2" applyBorder="1"/>
    <xf numFmtId="0" fontId="4" fillId="0" borderId="0" xfId="2" applyFont="1" applyBorder="1"/>
    <xf numFmtId="43" fontId="0" fillId="0" borderId="0" xfId="0" applyNumberFormat="1" applyBorder="1"/>
    <xf numFmtId="2" fontId="0" fillId="0" borderId="0" xfId="0" applyNumberFormat="1" applyBorder="1"/>
    <xf numFmtId="0" fontId="9" fillId="0" borderId="0" xfId="2" applyFont="1" applyBorder="1"/>
    <xf numFmtId="0" fontId="2" fillId="0" borderId="2" xfId="0" applyFont="1" applyBorder="1" applyAlignment="1">
      <alignment horizontal="right"/>
    </xf>
    <xf numFmtId="10" fontId="0" fillId="0" borderId="0" xfId="3" applyNumberFormat="1" applyFont="1" applyBorder="1"/>
    <xf numFmtId="0" fontId="2" fillId="0" borderId="2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164" fontId="0" fillId="0" borderId="3" xfId="1" applyNumberFormat="1" applyFont="1" applyBorder="1"/>
  </cellXfs>
  <cellStyles count="4">
    <cellStyle name="Komma" xfId="1" builtinId="3"/>
    <cellStyle name="Prozent" xfId="3" builtinId="5"/>
    <cellStyle name="Standard" xfId="0" builtinId="0"/>
    <cellStyle name="Standard 2" xfId="2" xr:uid="{F788EACC-1A03-49B9-92DD-A638B69E53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077A-BD95-4E15-AF6B-D491B7B8F2BC}">
  <dimension ref="A1:L607"/>
  <sheetViews>
    <sheetView tabSelected="1" workbookViewId="0">
      <selection activeCell="B2" sqref="B2"/>
    </sheetView>
  </sheetViews>
  <sheetFormatPr baseColWidth="10" defaultRowHeight="14.4" x14ac:dyDescent="0.3"/>
  <cols>
    <col min="1" max="1" width="5" bestFit="1" customWidth="1"/>
    <col min="2" max="2" width="6.109375" bestFit="1" customWidth="1"/>
    <col min="3" max="3" width="7.77734375" bestFit="1" customWidth="1"/>
    <col min="4" max="4" width="14.33203125" bestFit="1" customWidth="1"/>
    <col min="5" max="5" width="15.88671875" bestFit="1" customWidth="1"/>
    <col min="6" max="6" width="14.44140625" bestFit="1" customWidth="1"/>
    <col min="7" max="7" width="11.109375" bestFit="1" customWidth="1"/>
    <col min="8" max="8" width="21.77734375" bestFit="1" customWidth="1"/>
    <col min="9" max="9" width="10.21875" bestFit="1" customWidth="1"/>
    <col min="10" max="10" width="12.6640625" bestFit="1" customWidth="1"/>
    <col min="11" max="11" width="11.21875" bestFit="1" customWidth="1"/>
  </cols>
  <sheetData>
    <row r="1" spans="1:12" ht="15" thickBot="1" x14ac:dyDescent="0.35">
      <c r="A1" s="31" t="s">
        <v>513</v>
      </c>
      <c r="B1" s="31" t="s">
        <v>514</v>
      </c>
      <c r="C1" s="31" t="s">
        <v>521</v>
      </c>
      <c r="D1" s="31" t="s">
        <v>515</v>
      </c>
      <c r="E1" s="31" t="s">
        <v>516</v>
      </c>
      <c r="F1" s="31" t="s">
        <v>517</v>
      </c>
      <c r="G1" s="34" t="s">
        <v>518</v>
      </c>
      <c r="H1" s="31" t="s">
        <v>519</v>
      </c>
      <c r="I1" s="31" t="s">
        <v>520</v>
      </c>
      <c r="J1" s="33" t="s">
        <v>522</v>
      </c>
      <c r="K1" s="33" t="s">
        <v>523</v>
      </c>
      <c r="L1" s="25"/>
    </row>
    <row r="2" spans="1:12" x14ac:dyDescent="0.3">
      <c r="A2" s="25">
        <f>1990+INT((ROW(A1)-1)/12)</f>
        <v>1990</v>
      </c>
      <c r="B2" s="25" t="s">
        <v>1</v>
      </c>
      <c r="C2" s="25" t="str">
        <f>IF(OR(B2="dec",B2="jan",B2="feb"),"Winter",IF(OR(B2="mar",B2="apr",B2="may"),"Frühling",IF(OR(B2="jun",B2="jul",B2="aug"),"Sommer","Herbst")))</f>
        <v>Winter</v>
      </c>
      <c r="D2" s="25">
        <f>INDEX(Wetter!B:M,MATCH(A2,Wetter!A:A,0),MATCH(B2,Wetter!B$1:M$1,0))</f>
        <v>-1.67</v>
      </c>
      <c r="E2" s="26">
        <v>4328</v>
      </c>
      <c r="F2" s="27">
        <v>4589</v>
      </c>
      <c r="G2" s="35">
        <f>_xlfn.XLOOKUP(A2,Bevölkerung!A:A,Bevölkerung!B:B)</f>
        <v>6750693</v>
      </c>
      <c r="H2" s="28">
        <f>G2/F2</f>
        <v>1471.059707997385</v>
      </c>
      <c r="I2" s="29">
        <f>F2/(20-D2)</f>
        <v>211.76742039686201</v>
      </c>
      <c r="J2" s="32">
        <f>E2/F2</f>
        <v>0.94312486380475047</v>
      </c>
      <c r="K2" s="25">
        <f>E2-F2</f>
        <v>-261</v>
      </c>
      <c r="L2" s="25"/>
    </row>
    <row r="3" spans="1:12" x14ac:dyDescent="0.3">
      <c r="A3" s="25">
        <f t="shared" ref="A3:A66" si="0">1990+INT((ROW(A2)-1)/12)</f>
        <v>1990</v>
      </c>
      <c r="B3" s="25" t="s">
        <v>2</v>
      </c>
      <c r="C3" s="25" t="str">
        <f t="shared" ref="C3:C66" si="1">IF(OR(B3="dec",B3="jan",B3="feb"),"Winter",IF(OR(B3="mar",B3="apr",B3="may"),"Frühling",IF(OR(B3="jun",B3="jul",B3="aug"),"Sommer","Herbst")))</f>
        <v>Winter</v>
      </c>
      <c r="D3" s="25">
        <f>INDEX(Wetter!B:M,MATCH(A3,Wetter!A:A,0),MATCH(B3,Wetter!B$1:M$1,0))</f>
        <v>2.1</v>
      </c>
      <c r="E3" s="26">
        <v>3929</v>
      </c>
      <c r="F3" s="27">
        <v>3921</v>
      </c>
      <c r="G3" s="35">
        <f>_xlfn.XLOOKUP(A3,Bevölkerung!A:A,Bevölkerung!B:B)</f>
        <v>6750693</v>
      </c>
      <c r="H3" s="28">
        <f t="shared" ref="H3:H66" si="2">G3/F3</f>
        <v>1721.6763580719205</v>
      </c>
      <c r="I3" s="29">
        <f t="shared" ref="I3:I65" si="3">F3/(20-D3)</f>
        <v>219.05027932960897</v>
      </c>
      <c r="J3" s="32">
        <f t="shared" ref="J3:J66" si="4">E3/F3</f>
        <v>1.0020402958428971</v>
      </c>
      <c r="K3" s="25">
        <f t="shared" ref="K3:K66" si="5">E3-F3</f>
        <v>8</v>
      </c>
      <c r="L3" s="25"/>
    </row>
    <row r="4" spans="1:12" x14ac:dyDescent="0.3">
      <c r="A4" s="25">
        <f t="shared" si="0"/>
        <v>1990</v>
      </c>
      <c r="B4" s="25" t="s">
        <v>3</v>
      </c>
      <c r="C4" s="25" t="str">
        <f t="shared" si="1"/>
        <v>Frühling</v>
      </c>
      <c r="D4" s="25">
        <f>INDEX(Wetter!B:M,MATCH(A4,Wetter!A:A,0),MATCH(B4,Wetter!B$1:M$1,0))</f>
        <v>2.76</v>
      </c>
      <c r="E4" s="26">
        <v>4736</v>
      </c>
      <c r="F4" s="27">
        <v>4157</v>
      </c>
      <c r="G4" s="35">
        <f>_xlfn.XLOOKUP(A4,Bevölkerung!A:A,Bevölkerung!B:B)</f>
        <v>6750693</v>
      </c>
      <c r="H4" s="28">
        <f t="shared" si="2"/>
        <v>1623.9338465239355</v>
      </c>
      <c r="I4" s="29">
        <f t="shared" si="3"/>
        <v>241.12529002320184</v>
      </c>
      <c r="J4" s="32">
        <f t="shared" si="4"/>
        <v>1.139283136877556</v>
      </c>
      <c r="K4" s="25">
        <f t="shared" si="5"/>
        <v>579</v>
      </c>
      <c r="L4" s="25"/>
    </row>
    <row r="5" spans="1:12" x14ac:dyDescent="0.3">
      <c r="A5" s="25">
        <f t="shared" si="0"/>
        <v>1990</v>
      </c>
      <c r="B5" s="25" t="s">
        <v>4</v>
      </c>
      <c r="C5" s="25" t="str">
        <f t="shared" si="1"/>
        <v>Frühling</v>
      </c>
      <c r="D5" s="25">
        <f>INDEX(Wetter!B:M,MATCH(A5,Wetter!A:A,0),MATCH(B5,Wetter!B$1:M$1,0))</f>
        <v>2.52</v>
      </c>
      <c r="E5" s="26">
        <v>4397</v>
      </c>
      <c r="F5" s="27">
        <v>3796</v>
      </c>
      <c r="G5" s="35">
        <f>_xlfn.XLOOKUP(A5,Bevölkerung!A:A,Bevölkerung!B:B)</f>
        <v>6750693</v>
      </c>
      <c r="H5" s="28">
        <f t="shared" si="2"/>
        <v>1778.3701264488936</v>
      </c>
      <c r="I5" s="29">
        <f t="shared" si="3"/>
        <v>217.162471395881</v>
      </c>
      <c r="J5" s="32">
        <f t="shared" si="4"/>
        <v>1.1583245521601686</v>
      </c>
      <c r="K5" s="25">
        <f t="shared" si="5"/>
        <v>601</v>
      </c>
      <c r="L5" s="25"/>
    </row>
    <row r="6" spans="1:12" x14ac:dyDescent="0.3">
      <c r="A6" s="25">
        <f t="shared" si="0"/>
        <v>1990</v>
      </c>
      <c r="B6" s="25" t="s">
        <v>5</v>
      </c>
      <c r="C6" s="25" t="str">
        <f t="shared" si="1"/>
        <v>Frühling</v>
      </c>
      <c r="D6" s="25">
        <f>INDEX(Wetter!B:M,MATCH(A6,Wetter!A:A,0),MATCH(B6,Wetter!B$1:M$1,0))</f>
        <v>9.7899999999999991</v>
      </c>
      <c r="E6" s="26">
        <v>4897</v>
      </c>
      <c r="F6" s="27">
        <v>3581</v>
      </c>
      <c r="G6" s="35">
        <f>_xlfn.XLOOKUP(A6,Bevölkerung!A:A,Bevölkerung!B:B)</f>
        <v>6750693</v>
      </c>
      <c r="H6" s="28">
        <f t="shared" si="2"/>
        <v>1885.141859815694</v>
      </c>
      <c r="I6" s="29">
        <f t="shared" si="3"/>
        <v>350.73457394711062</v>
      </c>
      <c r="J6" s="32">
        <f t="shared" si="4"/>
        <v>1.3674951130969004</v>
      </c>
      <c r="K6" s="25">
        <f t="shared" si="5"/>
        <v>1316</v>
      </c>
      <c r="L6" s="25"/>
    </row>
    <row r="7" spans="1:12" x14ac:dyDescent="0.3">
      <c r="A7" s="25">
        <f t="shared" si="0"/>
        <v>1990</v>
      </c>
      <c r="B7" s="25" t="s">
        <v>6</v>
      </c>
      <c r="C7" s="25" t="str">
        <f t="shared" si="1"/>
        <v>Sommer</v>
      </c>
      <c r="D7" s="25">
        <f>INDEX(Wetter!B:M,MATCH(A7,Wetter!A:A,0),MATCH(B7,Wetter!B$1:M$1,0))</f>
        <v>10.69</v>
      </c>
      <c r="E7" s="26">
        <v>4623</v>
      </c>
      <c r="F7" s="27">
        <v>3513</v>
      </c>
      <c r="G7" s="35">
        <f>_xlfn.XLOOKUP(A7,Bevölkerung!A:A,Bevölkerung!B:B)</f>
        <v>6750693</v>
      </c>
      <c r="H7" s="28">
        <f t="shared" si="2"/>
        <v>1921.6319385140905</v>
      </c>
      <c r="I7" s="29">
        <f t="shared" si="3"/>
        <v>377.33619763694952</v>
      </c>
      <c r="J7" s="32">
        <f t="shared" si="4"/>
        <v>1.3159692570452604</v>
      </c>
      <c r="K7" s="25">
        <f t="shared" si="5"/>
        <v>1110</v>
      </c>
      <c r="L7" s="25"/>
    </row>
    <row r="8" spans="1:12" x14ac:dyDescent="0.3">
      <c r="A8" s="25">
        <f t="shared" si="0"/>
        <v>1990</v>
      </c>
      <c r="B8" s="25" t="s">
        <v>7</v>
      </c>
      <c r="C8" s="25" t="str">
        <f t="shared" si="1"/>
        <v>Sommer</v>
      </c>
      <c r="D8" s="25">
        <f>INDEX(Wetter!B:M,MATCH(A8,Wetter!A:A,0),MATCH(B8,Wetter!B$1:M$1,0))</f>
        <v>14.06</v>
      </c>
      <c r="E8" s="26">
        <v>5223</v>
      </c>
      <c r="F8" s="27">
        <v>3346</v>
      </c>
      <c r="G8" s="35">
        <f>_xlfn.XLOOKUP(A8,Bevölkerung!A:A,Bevölkerung!B:B)</f>
        <v>6750693</v>
      </c>
      <c r="H8" s="28">
        <f t="shared" si="2"/>
        <v>2017.5412432755529</v>
      </c>
      <c r="I8" s="29">
        <f t="shared" si="3"/>
        <v>563.29966329966339</v>
      </c>
      <c r="J8" s="32">
        <f t="shared" si="4"/>
        <v>1.5609683203825464</v>
      </c>
      <c r="K8" s="25">
        <f t="shared" si="5"/>
        <v>1877</v>
      </c>
      <c r="L8" s="25"/>
    </row>
    <row r="9" spans="1:12" x14ac:dyDescent="0.3">
      <c r="A9" s="25">
        <f t="shared" si="0"/>
        <v>1990</v>
      </c>
      <c r="B9" s="25" t="s">
        <v>8</v>
      </c>
      <c r="C9" s="25" t="str">
        <f t="shared" si="1"/>
        <v>Sommer</v>
      </c>
      <c r="D9" s="25">
        <f>INDEX(Wetter!B:M,MATCH(A9,Wetter!A:A,0),MATCH(B9,Wetter!B$1:M$1,0))</f>
        <v>14.31</v>
      </c>
      <c r="E9" s="26">
        <v>4068</v>
      </c>
      <c r="F9" s="27">
        <v>3373</v>
      </c>
      <c r="G9" s="35">
        <f>_xlfn.XLOOKUP(A9,Bevölkerung!A:A,Bevölkerung!B:B)</f>
        <v>6750693</v>
      </c>
      <c r="H9" s="28">
        <f t="shared" si="2"/>
        <v>2001.3913430180849</v>
      </c>
      <c r="I9" s="29">
        <f t="shared" si="3"/>
        <v>592.7943760984183</v>
      </c>
      <c r="J9" s="32">
        <f t="shared" si="4"/>
        <v>1.2060480284613104</v>
      </c>
      <c r="K9" s="25">
        <f t="shared" si="5"/>
        <v>695</v>
      </c>
      <c r="L9" s="25"/>
    </row>
    <row r="10" spans="1:12" x14ac:dyDescent="0.3">
      <c r="A10" s="25">
        <f t="shared" si="0"/>
        <v>1990</v>
      </c>
      <c r="B10" s="25" t="s">
        <v>9</v>
      </c>
      <c r="C10" s="25" t="str">
        <f t="shared" si="1"/>
        <v>Herbst</v>
      </c>
      <c r="D10" s="25">
        <f>INDEX(Wetter!B:M,MATCH(A10,Wetter!A:A,0),MATCH(B10,Wetter!B$1:M$1,0))</f>
        <v>9.4</v>
      </c>
      <c r="E10" s="26">
        <v>4229</v>
      </c>
      <c r="F10" s="27">
        <v>3526</v>
      </c>
      <c r="G10" s="35">
        <f>_xlfn.XLOOKUP(A10,Bevölkerung!A:A,Bevölkerung!B:B)</f>
        <v>6750693</v>
      </c>
      <c r="H10" s="28">
        <f t="shared" si="2"/>
        <v>1914.5470788428815</v>
      </c>
      <c r="I10" s="29">
        <f t="shared" si="3"/>
        <v>332.64150943396226</v>
      </c>
      <c r="J10" s="32">
        <f t="shared" si="4"/>
        <v>1.1993760635280772</v>
      </c>
      <c r="K10" s="25">
        <f t="shared" si="5"/>
        <v>703</v>
      </c>
      <c r="L10" s="25"/>
    </row>
    <row r="11" spans="1:12" x14ac:dyDescent="0.3">
      <c r="A11" s="25">
        <f t="shared" si="0"/>
        <v>1990</v>
      </c>
      <c r="B11" s="25" t="s">
        <v>10</v>
      </c>
      <c r="C11" s="25" t="str">
        <f t="shared" si="1"/>
        <v>Herbst</v>
      </c>
      <c r="D11" s="25">
        <f>INDEX(Wetter!B:M,MATCH(A11,Wetter!A:A,0),MATCH(B11,Wetter!B$1:M$1,0))</f>
        <v>7.85</v>
      </c>
      <c r="E11" s="26">
        <v>4500</v>
      </c>
      <c r="F11" s="27">
        <v>3967</v>
      </c>
      <c r="G11" s="35">
        <f>_xlfn.XLOOKUP(A11,Bevölkerung!A:A,Bevölkerung!B:B)</f>
        <v>6750693</v>
      </c>
      <c r="H11" s="28">
        <f t="shared" si="2"/>
        <v>1701.7123771111671</v>
      </c>
      <c r="I11" s="29">
        <f t="shared" si="3"/>
        <v>326.50205761316869</v>
      </c>
      <c r="J11" s="32">
        <f t="shared" si="4"/>
        <v>1.1343584572724981</v>
      </c>
      <c r="K11" s="25">
        <f t="shared" si="5"/>
        <v>533</v>
      </c>
      <c r="L11" s="25"/>
    </row>
    <row r="12" spans="1:12" x14ac:dyDescent="0.3">
      <c r="A12" s="25">
        <f t="shared" si="0"/>
        <v>1990</v>
      </c>
      <c r="B12" s="25" t="s">
        <v>11</v>
      </c>
      <c r="C12" s="25" t="str">
        <f t="shared" si="1"/>
        <v>Herbst</v>
      </c>
      <c r="D12" s="25">
        <f>INDEX(Wetter!B:M,MATCH(A12,Wetter!A:A,0),MATCH(B12,Wetter!B$1:M$1,0))</f>
        <v>0.4</v>
      </c>
      <c r="E12" s="26">
        <v>4590</v>
      </c>
      <c r="F12" s="27">
        <v>4299</v>
      </c>
      <c r="G12" s="35">
        <f>_xlfn.XLOOKUP(A12,Bevölkerung!A:A,Bevölkerung!B:B)</f>
        <v>6750693</v>
      </c>
      <c r="H12" s="28">
        <f t="shared" si="2"/>
        <v>1570.2937892533148</v>
      </c>
      <c r="I12" s="29">
        <f t="shared" si="3"/>
        <v>219.33673469387753</v>
      </c>
      <c r="J12" s="32">
        <f t="shared" si="4"/>
        <v>1.0676901605024425</v>
      </c>
      <c r="K12" s="25">
        <f t="shared" si="5"/>
        <v>291</v>
      </c>
      <c r="L12" s="25"/>
    </row>
    <row r="13" spans="1:12" x14ac:dyDescent="0.3">
      <c r="A13" s="25">
        <f t="shared" si="0"/>
        <v>1990</v>
      </c>
      <c r="B13" s="25" t="s">
        <v>12</v>
      </c>
      <c r="C13" s="25" t="str">
        <f t="shared" si="1"/>
        <v>Winter</v>
      </c>
      <c r="D13" s="25">
        <f>INDEX(Wetter!B:M,MATCH(A13,Wetter!A:A,0),MATCH(B13,Wetter!B$1:M$1,0))</f>
        <v>-3.79</v>
      </c>
      <c r="E13" s="26">
        <v>4554</v>
      </c>
      <c r="F13" s="27">
        <v>4510</v>
      </c>
      <c r="G13" s="35">
        <f>_xlfn.XLOOKUP(A13,Bevölkerung!A:A,Bevölkerung!B:B)</f>
        <v>6750693</v>
      </c>
      <c r="H13" s="28">
        <f t="shared" si="2"/>
        <v>1496.8277161862527</v>
      </c>
      <c r="I13" s="29">
        <f t="shared" si="3"/>
        <v>189.57545187053384</v>
      </c>
      <c r="J13" s="32">
        <f t="shared" si="4"/>
        <v>1.0097560975609756</v>
      </c>
      <c r="K13" s="25">
        <f t="shared" si="5"/>
        <v>44</v>
      </c>
      <c r="L13" s="25"/>
    </row>
    <row r="14" spans="1:12" x14ac:dyDescent="0.3">
      <c r="A14" s="25">
        <f t="shared" si="0"/>
        <v>1991</v>
      </c>
      <c r="B14" s="25" t="s">
        <v>1</v>
      </c>
      <c r="C14" s="25" t="str">
        <f t="shared" si="1"/>
        <v>Winter</v>
      </c>
      <c r="D14" s="25">
        <f>INDEX(Wetter!B:M,MATCH(A14,Wetter!A:A,0),MATCH(B14,Wetter!B$1:M$1,0))</f>
        <v>-2.0299999999999998</v>
      </c>
      <c r="E14" s="26">
        <v>4814</v>
      </c>
      <c r="F14" s="27">
        <v>4594</v>
      </c>
      <c r="G14" s="35">
        <f>_xlfn.XLOOKUP(A14,Bevölkerung!A:A,Bevölkerung!B:B)</f>
        <v>6842768</v>
      </c>
      <c r="H14" s="28">
        <f t="shared" si="2"/>
        <v>1489.5010883761429</v>
      </c>
      <c r="I14" s="29">
        <f t="shared" si="3"/>
        <v>208.5338175215615</v>
      </c>
      <c r="J14" s="32">
        <f t="shared" si="4"/>
        <v>1.0478885502829778</v>
      </c>
      <c r="K14" s="25">
        <f t="shared" si="5"/>
        <v>220</v>
      </c>
      <c r="L14" s="25"/>
    </row>
    <row r="15" spans="1:12" x14ac:dyDescent="0.3">
      <c r="A15" s="25">
        <f t="shared" si="0"/>
        <v>1991</v>
      </c>
      <c r="B15" s="25" t="s">
        <v>2</v>
      </c>
      <c r="C15" s="25" t="str">
        <f t="shared" si="1"/>
        <v>Winter</v>
      </c>
      <c r="D15" s="25">
        <f>INDEX(Wetter!B:M,MATCH(A15,Wetter!A:A,0),MATCH(B15,Wetter!B$1:M$1,0))</f>
        <v>-4.57</v>
      </c>
      <c r="E15" s="26">
        <v>4732</v>
      </c>
      <c r="F15" s="27">
        <v>4381</v>
      </c>
      <c r="G15" s="35">
        <f>_xlfn.XLOOKUP(A15,Bevölkerung!A:A,Bevölkerung!B:B)</f>
        <v>6842768</v>
      </c>
      <c r="H15" s="28">
        <f t="shared" si="2"/>
        <v>1561.9191965304724</v>
      </c>
      <c r="I15" s="29">
        <f t="shared" si="3"/>
        <v>178.3068783068783</v>
      </c>
      <c r="J15" s="32">
        <f t="shared" si="4"/>
        <v>1.0801186943620178</v>
      </c>
      <c r="K15" s="25">
        <f t="shared" si="5"/>
        <v>351</v>
      </c>
      <c r="L15" s="25"/>
    </row>
    <row r="16" spans="1:12" x14ac:dyDescent="0.3">
      <c r="A16" s="25">
        <f t="shared" si="0"/>
        <v>1991</v>
      </c>
      <c r="B16" s="25" t="s">
        <v>3</v>
      </c>
      <c r="C16" s="25" t="str">
        <f t="shared" si="1"/>
        <v>Frühling</v>
      </c>
      <c r="D16" s="25">
        <f>INDEX(Wetter!B:M,MATCH(A16,Wetter!A:A,0),MATCH(B16,Wetter!B$1:M$1,0))</f>
        <v>3.08</v>
      </c>
      <c r="E16" s="26">
        <v>4524</v>
      </c>
      <c r="F16" s="27">
        <v>4127</v>
      </c>
      <c r="G16" s="35">
        <f>_xlfn.XLOOKUP(A16,Bevölkerung!A:A,Bevölkerung!B:B)</f>
        <v>6842768</v>
      </c>
      <c r="H16" s="28">
        <f t="shared" si="2"/>
        <v>1658.0489459655923</v>
      </c>
      <c r="I16" s="29">
        <f t="shared" si="3"/>
        <v>243.9125295508274</v>
      </c>
      <c r="J16" s="32">
        <f t="shared" si="4"/>
        <v>1.0961957838623697</v>
      </c>
      <c r="K16" s="25">
        <f t="shared" si="5"/>
        <v>397</v>
      </c>
      <c r="L16" s="25"/>
    </row>
    <row r="17" spans="1:12" x14ac:dyDescent="0.3">
      <c r="A17" s="25">
        <f t="shared" si="0"/>
        <v>1991</v>
      </c>
      <c r="B17" s="25" t="s">
        <v>4</v>
      </c>
      <c r="C17" s="25" t="str">
        <f t="shared" si="1"/>
        <v>Frühling</v>
      </c>
      <c r="D17" s="25">
        <f>INDEX(Wetter!B:M,MATCH(A17,Wetter!A:A,0),MATCH(B17,Wetter!B$1:M$1,0))</f>
        <v>2.38</v>
      </c>
      <c r="E17" s="26">
        <v>4575</v>
      </c>
      <c r="F17" s="27">
        <v>3860</v>
      </c>
      <c r="G17" s="35">
        <f>_xlfn.XLOOKUP(A17,Bevölkerung!A:A,Bevölkerung!B:B)</f>
        <v>6842768</v>
      </c>
      <c r="H17" s="28">
        <f t="shared" si="2"/>
        <v>1772.7378238341969</v>
      </c>
      <c r="I17" s="29">
        <f t="shared" si="3"/>
        <v>219.06923950056753</v>
      </c>
      <c r="J17" s="32">
        <f t="shared" si="4"/>
        <v>1.1852331606217616</v>
      </c>
      <c r="K17" s="25">
        <f t="shared" si="5"/>
        <v>715</v>
      </c>
      <c r="L17" s="25"/>
    </row>
    <row r="18" spans="1:12" x14ac:dyDescent="0.3">
      <c r="A18" s="25">
        <f t="shared" si="0"/>
        <v>1991</v>
      </c>
      <c r="B18" s="25" t="s">
        <v>5</v>
      </c>
      <c r="C18" s="25" t="str">
        <f t="shared" si="1"/>
        <v>Frühling</v>
      </c>
      <c r="D18" s="25">
        <f>INDEX(Wetter!B:M,MATCH(A18,Wetter!A:A,0),MATCH(B18,Wetter!B$1:M$1,0))</f>
        <v>4.84</v>
      </c>
      <c r="E18" s="26">
        <v>4285</v>
      </c>
      <c r="F18" s="27">
        <v>3789</v>
      </c>
      <c r="G18" s="35">
        <f>_xlfn.XLOOKUP(A18,Bevölkerung!A:A,Bevölkerung!B:B)</f>
        <v>6842768</v>
      </c>
      <c r="H18" s="28">
        <f t="shared" si="2"/>
        <v>1805.9561889680654</v>
      </c>
      <c r="I18" s="29">
        <f t="shared" si="3"/>
        <v>249.93403693931398</v>
      </c>
      <c r="J18" s="32">
        <f t="shared" si="4"/>
        <v>1.1309052520453946</v>
      </c>
      <c r="K18" s="25">
        <f t="shared" si="5"/>
        <v>496</v>
      </c>
      <c r="L18" s="25"/>
    </row>
    <row r="19" spans="1:12" x14ac:dyDescent="0.3">
      <c r="A19" s="25">
        <f t="shared" si="0"/>
        <v>1991</v>
      </c>
      <c r="B19" s="25" t="s">
        <v>6</v>
      </c>
      <c r="C19" s="25" t="str">
        <f t="shared" si="1"/>
        <v>Sommer</v>
      </c>
      <c r="D19" s="25">
        <f>INDEX(Wetter!B:M,MATCH(A19,Wetter!A:A,0),MATCH(B19,Wetter!B$1:M$1,0))</f>
        <v>10.15</v>
      </c>
      <c r="E19" s="26">
        <v>4607</v>
      </c>
      <c r="F19" s="27">
        <v>3543</v>
      </c>
      <c r="G19" s="35">
        <f>_xlfn.XLOOKUP(A19,Bevölkerung!A:A,Bevölkerung!B:B)</f>
        <v>6842768</v>
      </c>
      <c r="H19" s="28">
        <f t="shared" si="2"/>
        <v>1931.3485746542478</v>
      </c>
      <c r="I19" s="29">
        <f t="shared" si="3"/>
        <v>359.69543147208122</v>
      </c>
      <c r="J19" s="32">
        <f t="shared" si="4"/>
        <v>1.3003104713519615</v>
      </c>
      <c r="K19" s="25">
        <f t="shared" si="5"/>
        <v>1064</v>
      </c>
      <c r="L19" s="25"/>
    </row>
    <row r="20" spans="1:12" x14ac:dyDescent="0.3">
      <c r="A20" s="25">
        <f t="shared" si="0"/>
        <v>1991</v>
      </c>
      <c r="B20" s="25" t="s">
        <v>7</v>
      </c>
      <c r="C20" s="25" t="str">
        <f t="shared" si="1"/>
        <v>Sommer</v>
      </c>
      <c r="D20" s="25">
        <f>INDEX(Wetter!B:M,MATCH(A20,Wetter!A:A,0),MATCH(B20,Wetter!B$1:M$1,0))</f>
        <v>15.24</v>
      </c>
      <c r="E20" s="26">
        <v>5254</v>
      </c>
      <c r="F20" s="27">
        <v>3352</v>
      </c>
      <c r="G20" s="35">
        <f>_xlfn.XLOOKUP(A20,Bevölkerung!A:A,Bevölkerung!B:B)</f>
        <v>6842768</v>
      </c>
      <c r="H20" s="28">
        <f t="shared" si="2"/>
        <v>2041.3985680190931</v>
      </c>
      <c r="I20" s="29">
        <f t="shared" si="3"/>
        <v>704.20168067226894</v>
      </c>
      <c r="J20" s="32">
        <f t="shared" si="4"/>
        <v>1.5674224343675418</v>
      </c>
      <c r="K20" s="25">
        <f t="shared" si="5"/>
        <v>1902</v>
      </c>
      <c r="L20" s="25"/>
    </row>
    <row r="21" spans="1:12" x14ac:dyDescent="0.3">
      <c r="A21" s="25">
        <f t="shared" si="0"/>
        <v>1991</v>
      </c>
      <c r="B21" s="25" t="s">
        <v>8</v>
      </c>
      <c r="C21" s="25" t="str">
        <f t="shared" si="1"/>
        <v>Sommer</v>
      </c>
      <c r="D21" s="25">
        <f>INDEX(Wetter!B:M,MATCH(A21,Wetter!A:A,0),MATCH(B21,Wetter!B$1:M$1,0))</f>
        <v>15.32</v>
      </c>
      <c r="E21" s="26">
        <v>4310</v>
      </c>
      <c r="F21" s="27">
        <v>3419</v>
      </c>
      <c r="G21" s="35">
        <f>_xlfn.XLOOKUP(A21,Bevölkerung!A:A,Bevölkerung!B:B)</f>
        <v>6842768</v>
      </c>
      <c r="H21" s="28">
        <f t="shared" si="2"/>
        <v>2001.3945598128107</v>
      </c>
      <c r="I21" s="29">
        <f t="shared" si="3"/>
        <v>730.55555555555566</v>
      </c>
      <c r="J21" s="32">
        <f t="shared" si="4"/>
        <v>1.260602515355367</v>
      </c>
      <c r="K21" s="25">
        <f t="shared" si="5"/>
        <v>891</v>
      </c>
      <c r="L21" s="25"/>
    </row>
    <row r="22" spans="1:12" x14ac:dyDescent="0.3">
      <c r="A22" s="25">
        <f t="shared" si="0"/>
        <v>1991</v>
      </c>
      <c r="B22" s="25" t="s">
        <v>9</v>
      </c>
      <c r="C22" s="25" t="str">
        <f t="shared" si="1"/>
        <v>Herbst</v>
      </c>
      <c r="D22" s="25">
        <f>INDEX(Wetter!B:M,MATCH(A22,Wetter!A:A,0),MATCH(B22,Wetter!B$1:M$1,0))</f>
        <v>12.28</v>
      </c>
      <c r="E22" s="26">
        <v>4690</v>
      </c>
      <c r="F22" s="27">
        <v>3565</v>
      </c>
      <c r="G22" s="35">
        <f>_xlfn.XLOOKUP(A22,Bevölkerung!A:A,Bevölkerung!B:B)</f>
        <v>6842768</v>
      </c>
      <c r="H22" s="28">
        <f t="shared" si="2"/>
        <v>1919.4300140252456</v>
      </c>
      <c r="I22" s="24">
        <f t="shared" si="3"/>
        <v>461.78756476683935</v>
      </c>
      <c r="J22" s="32">
        <f t="shared" si="4"/>
        <v>1.3155680224403927</v>
      </c>
      <c r="K22" s="25">
        <f t="shared" si="5"/>
        <v>1125</v>
      </c>
    </row>
    <row r="23" spans="1:12" x14ac:dyDescent="0.3">
      <c r="A23" s="25">
        <f t="shared" si="0"/>
        <v>1991</v>
      </c>
      <c r="B23" s="25" t="s">
        <v>10</v>
      </c>
      <c r="C23" s="25" t="str">
        <f t="shared" si="1"/>
        <v>Herbst</v>
      </c>
      <c r="D23" s="25">
        <f>INDEX(Wetter!B:M,MATCH(A23,Wetter!A:A,0),MATCH(B23,Wetter!B$1:M$1,0))</f>
        <v>5.04</v>
      </c>
      <c r="E23" s="26">
        <v>5191</v>
      </c>
      <c r="F23" s="27">
        <v>4066</v>
      </c>
      <c r="G23" s="35">
        <f>_xlfn.XLOOKUP(A23,Bevölkerung!A:A,Bevölkerung!B:B)</f>
        <v>6842768</v>
      </c>
      <c r="H23" s="28">
        <f t="shared" si="2"/>
        <v>1682.9237579931137</v>
      </c>
      <c r="I23" s="24">
        <f t="shared" si="3"/>
        <v>271.79144385026734</v>
      </c>
      <c r="J23" s="32">
        <f t="shared" si="4"/>
        <v>1.2766847024102312</v>
      </c>
      <c r="K23" s="25">
        <f t="shared" si="5"/>
        <v>1125</v>
      </c>
    </row>
    <row r="24" spans="1:12" x14ac:dyDescent="0.3">
      <c r="A24" s="25">
        <f t="shared" si="0"/>
        <v>1991</v>
      </c>
      <c r="B24" s="25" t="s">
        <v>11</v>
      </c>
      <c r="C24" s="25" t="str">
        <f t="shared" si="1"/>
        <v>Herbst</v>
      </c>
      <c r="D24" s="25">
        <f>INDEX(Wetter!B:M,MATCH(A24,Wetter!A:A,0),MATCH(B24,Wetter!B$1:M$1,0))</f>
        <v>0.74</v>
      </c>
      <c r="E24" s="26">
        <v>4509</v>
      </c>
      <c r="F24" s="27">
        <v>4337</v>
      </c>
      <c r="G24" s="35">
        <f>_xlfn.XLOOKUP(A24,Bevölkerung!A:A,Bevölkerung!B:B)</f>
        <v>6842768</v>
      </c>
      <c r="H24" s="28">
        <f t="shared" si="2"/>
        <v>1577.7652755360848</v>
      </c>
      <c r="I24" s="24">
        <f t="shared" si="3"/>
        <v>225.18172377985459</v>
      </c>
      <c r="J24" s="32">
        <f t="shared" si="4"/>
        <v>1.0396587502882177</v>
      </c>
      <c r="K24" s="25">
        <f t="shared" si="5"/>
        <v>172</v>
      </c>
    </row>
    <row r="25" spans="1:12" x14ac:dyDescent="0.3">
      <c r="A25" s="25">
        <f t="shared" si="0"/>
        <v>1991</v>
      </c>
      <c r="B25" s="25" t="s">
        <v>12</v>
      </c>
      <c r="C25" s="25" t="str">
        <f t="shared" si="1"/>
        <v>Winter</v>
      </c>
      <c r="D25" s="25">
        <f>INDEX(Wetter!B:M,MATCH(A25,Wetter!A:A,0),MATCH(B25,Wetter!B$1:M$1,0))</f>
        <v>-2.71</v>
      </c>
      <c r="E25" s="26">
        <v>4587</v>
      </c>
      <c r="F25" s="27">
        <v>4553</v>
      </c>
      <c r="G25" s="35">
        <f>_xlfn.XLOOKUP(A25,Bevölkerung!A:A,Bevölkerung!B:B)</f>
        <v>6842768</v>
      </c>
      <c r="H25" s="28">
        <f t="shared" si="2"/>
        <v>1502.9141225565561</v>
      </c>
      <c r="I25" s="24">
        <f t="shared" si="3"/>
        <v>200.48436811977101</v>
      </c>
      <c r="J25" s="32">
        <f t="shared" si="4"/>
        <v>1.007467603777729</v>
      </c>
      <c r="K25" s="25">
        <f t="shared" si="5"/>
        <v>34</v>
      </c>
    </row>
    <row r="26" spans="1:12" x14ac:dyDescent="0.3">
      <c r="A26" s="25">
        <f t="shared" si="0"/>
        <v>1992</v>
      </c>
      <c r="B26" s="25" t="s">
        <v>1</v>
      </c>
      <c r="C26" s="25" t="str">
        <f t="shared" si="1"/>
        <v>Winter</v>
      </c>
      <c r="D26" s="25">
        <f>INDEX(Wetter!B:M,MATCH(A26,Wetter!A:A,0),MATCH(B26,Wetter!B$1:M$1,0))</f>
        <v>-2.4500000000000002</v>
      </c>
      <c r="E26" s="26">
        <v>4696</v>
      </c>
      <c r="F26" s="27">
        <v>4750</v>
      </c>
      <c r="G26" s="35">
        <f>_xlfn.XLOOKUP(A26,Bevölkerung!A:A,Bevölkerung!B:B)</f>
        <v>6907959</v>
      </c>
      <c r="H26" s="28">
        <f t="shared" si="2"/>
        <v>1454.3071578947367</v>
      </c>
      <c r="I26" s="24">
        <f t="shared" si="3"/>
        <v>211.58129175946547</v>
      </c>
      <c r="J26" s="32">
        <f t="shared" si="4"/>
        <v>0.98863157894736842</v>
      </c>
      <c r="K26" s="25">
        <f t="shared" si="5"/>
        <v>-54</v>
      </c>
    </row>
    <row r="27" spans="1:12" x14ac:dyDescent="0.3">
      <c r="A27" s="25">
        <f t="shared" si="0"/>
        <v>1992</v>
      </c>
      <c r="B27" s="25" t="s">
        <v>2</v>
      </c>
      <c r="C27" s="25" t="str">
        <f t="shared" si="1"/>
        <v>Winter</v>
      </c>
      <c r="D27" s="25">
        <f>INDEX(Wetter!B:M,MATCH(A27,Wetter!A:A,0),MATCH(B27,Wetter!B$1:M$1,0))</f>
        <v>-1.44</v>
      </c>
      <c r="E27" s="26">
        <v>4765</v>
      </c>
      <c r="F27" s="27">
        <v>4611</v>
      </c>
      <c r="G27" s="35">
        <f>_xlfn.XLOOKUP(A27,Bevölkerung!A:A,Bevölkerung!B:B)</f>
        <v>6907959</v>
      </c>
      <c r="H27" s="28">
        <f t="shared" si="2"/>
        <v>1498.1476903057905</v>
      </c>
      <c r="I27" s="24">
        <f t="shared" si="3"/>
        <v>215.06529850746267</v>
      </c>
      <c r="J27" s="32">
        <f t="shared" si="4"/>
        <v>1.0333983951420516</v>
      </c>
      <c r="K27" s="25">
        <f t="shared" si="5"/>
        <v>154</v>
      </c>
    </row>
    <row r="28" spans="1:12" x14ac:dyDescent="0.3">
      <c r="A28" s="25">
        <f t="shared" si="0"/>
        <v>1992</v>
      </c>
      <c r="B28" s="25" t="s">
        <v>3</v>
      </c>
      <c r="C28" s="25" t="str">
        <f t="shared" si="1"/>
        <v>Frühling</v>
      </c>
      <c r="D28" s="25">
        <f>INDEX(Wetter!B:M,MATCH(A28,Wetter!A:A,0),MATCH(B28,Wetter!B$1:M$1,0))</f>
        <v>1.33</v>
      </c>
      <c r="E28" s="26">
        <v>4513</v>
      </c>
      <c r="F28" s="27">
        <v>4348</v>
      </c>
      <c r="G28" s="35">
        <f>_xlfn.XLOOKUP(A28,Bevölkerung!A:A,Bevölkerung!B:B)</f>
        <v>6907959</v>
      </c>
      <c r="H28" s="28">
        <f t="shared" si="2"/>
        <v>1588.7670193192273</v>
      </c>
      <c r="I28" s="24">
        <f t="shared" si="3"/>
        <v>232.88698446705942</v>
      </c>
      <c r="J28" s="32">
        <f t="shared" si="4"/>
        <v>1.0379484820607177</v>
      </c>
      <c r="K28" s="25">
        <f t="shared" si="5"/>
        <v>165</v>
      </c>
    </row>
    <row r="29" spans="1:12" x14ac:dyDescent="0.3">
      <c r="A29" s="25">
        <f t="shared" si="0"/>
        <v>1992</v>
      </c>
      <c r="B29" s="25" t="s">
        <v>4</v>
      </c>
      <c r="C29" s="25" t="str">
        <f t="shared" si="1"/>
        <v>Frühling</v>
      </c>
      <c r="D29" s="25">
        <f>INDEX(Wetter!B:M,MATCH(A29,Wetter!A:A,0),MATCH(B29,Wetter!B$1:M$1,0))</f>
        <v>3.66</v>
      </c>
      <c r="E29" s="26">
        <v>4213</v>
      </c>
      <c r="F29" s="27">
        <v>3835</v>
      </c>
      <c r="G29" s="35">
        <f>_xlfn.XLOOKUP(A29,Bevölkerung!A:A,Bevölkerung!B:B)</f>
        <v>6907959</v>
      </c>
      <c r="H29" s="28">
        <f t="shared" si="2"/>
        <v>1801.2930899608866</v>
      </c>
      <c r="I29" s="24">
        <f t="shared" si="3"/>
        <v>234.70012239902081</v>
      </c>
      <c r="J29" s="32">
        <f t="shared" si="4"/>
        <v>1.0985658409387222</v>
      </c>
      <c r="K29" s="25">
        <f t="shared" si="5"/>
        <v>378</v>
      </c>
    </row>
    <row r="30" spans="1:12" x14ac:dyDescent="0.3">
      <c r="A30" s="25">
        <f t="shared" si="0"/>
        <v>1992</v>
      </c>
      <c r="B30" s="25" t="s">
        <v>5</v>
      </c>
      <c r="C30" s="25" t="str">
        <f t="shared" si="1"/>
        <v>Frühling</v>
      </c>
      <c r="D30" s="25">
        <f>INDEX(Wetter!B:M,MATCH(A30,Wetter!A:A,0),MATCH(B30,Wetter!B$1:M$1,0))</f>
        <v>10.050000000000001</v>
      </c>
      <c r="E30" s="26">
        <v>5250</v>
      </c>
      <c r="F30" s="27">
        <v>3648</v>
      </c>
      <c r="G30" s="35">
        <f>_xlfn.XLOOKUP(A30,Bevölkerung!A:A,Bevölkerung!B:B)</f>
        <v>6907959</v>
      </c>
      <c r="H30" s="28">
        <f t="shared" si="2"/>
        <v>1893.6291118421052</v>
      </c>
      <c r="I30" s="24">
        <f t="shared" si="3"/>
        <v>366.63316582914575</v>
      </c>
      <c r="J30" s="32">
        <f t="shared" si="4"/>
        <v>1.4391447368421053</v>
      </c>
      <c r="K30" s="25">
        <f t="shared" si="5"/>
        <v>1602</v>
      </c>
    </row>
    <row r="31" spans="1:12" x14ac:dyDescent="0.3">
      <c r="A31" s="25">
        <f t="shared" si="0"/>
        <v>1992</v>
      </c>
      <c r="B31" s="25" t="s">
        <v>6</v>
      </c>
      <c r="C31" s="25" t="str">
        <f t="shared" si="1"/>
        <v>Sommer</v>
      </c>
      <c r="D31" s="25">
        <f>INDEX(Wetter!B:M,MATCH(A31,Wetter!A:A,0),MATCH(B31,Wetter!B$1:M$1,0))</f>
        <v>10.81</v>
      </c>
      <c r="E31" s="26">
        <v>4918</v>
      </c>
      <c r="F31" s="27">
        <v>3473</v>
      </c>
      <c r="G31" s="35">
        <f>_xlfn.XLOOKUP(A31,Bevölkerung!A:A,Bevölkerung!B:B)</f>
        <v>6907959</v>
      </c>
      <c r="H31" s="28">
        <f t="shared" si="2"/>
        <v>1989.0466455513965</v>
      </c>
      <c r="I31" s="24">
        <f t="shared" si="3"/>
        <v>377.91077257889015</v>
      </c>
      <c r="J31" s="32">
        <f t="shared" si="4"/>
        <v>1.4160668010365678</v>
      </c>
      <c r="K31" s="25">
        <f t="shared" si="5"/>
        <v>1445</v>
      </c>
    </row>
    <row r="32" spans="1:12" x14ac:dyDescent="0.3">
      <c r="A32" s="25">
        <f t="shared" si="0"/>
        <v>1992</v>
      </c>
      <c r="B32" s="25" t="s">
        <v>7</v>
      </c>
      <c r="C32" s="25" t="str">
        <f t="shared" si="1"/>
        <v>Sommer</v>
      </c>
      <c r="D32" s="25">
        <f>INDEX(Wetter!B:M,MATCH(A32,Wetter!A:A,0),MATCH(B32,Wetter!B$1:M$1,0))</f>
        <v>14.38</v>
      </c>
      <c r="E32" s="26">
        <v>5358</v>
      </c>
      <c r="F32" s="27">
        <v>3417</v>
      </c>
      <c r="G32" s="35">
        <f>_xlfn.XLOOKUP(A32,Bevölkerung!A:A,Bevölkerung!B:B)</f>
        <v>6907959</v>
      </c>
      <c r="H32" s="28">
        <f t="shared" si="2"/>
        <v>2021.6444249341528</v>
      </c>
      <c r="I32" s="24">
        <f t="shared" si="3"/>
        <v>608.00711743772251</v>
      </c>
      <c r="J32" s="32">
        <f t="shared" si="4"/>
        <v>1.5680421422300264</v>
      </c>
      <c r="K32" s="25">
        <f t="shared" si="5"/>
        <v>1941</v>
      </c>
    </row>
    <row r="33" spans="1:11" x14ac:dyDescent="0.3">
      <c r="A33" s="25">
        <f t="shared" si="0"/>
        <v>1992</v>
      </c>
      <c r="B33" s="25" t="s">
        <v>8</v>
      </c>
      <c r="C33" s="25" t="str">
        <f t="shared" si="1"/>
        <v>Sommer</v>
      </c>
      <c r="D33" s="25">
        <f>INDEX(Wetter!B:M,MATCH(A33,Wetter!A:A,0),MATCH(B33,Wetter!B$1:M$1,0))</f>
        <v>16.190000000000001</v>
      </c>
      <c r="E33" s="26">
        <v>4611</v>
      </c>
      <c r="F33" s="27">
        <v>3463</v>
      </c>
      <c r="G33" s="35">
        <f>_xlfn.XLOOKUP(A33,Bevölkerung!A:A,Bevölkerung!B:B)</f>
        <v>6907959</v>
      </c>
      <c r="H33" s="28">
        <f t="shared" si="2"/>
        <v>1994.790355183367</v>
      </c>
      <c r="I33" s="24">
        <f t="shared" si="3"/>
        <v>908.92388451443605</v>
      </c>
      <c r="J33" s="32">
        <f t="shared" si="4"/>
        <v>1.3315044758879584</v>
      </c>
      <c r="K33" s="25">
        <f t="shared" si="5"/>
        <v>1148</v>
      </c>
    </row>
    <row r="34" spans="1:11" x14ac:dyDescent="0.3">
      <c r="A34" s="25">
        <f t="shared" si="0"/>
        <v>1992</v>
      </c>
      <c r="B34" s="25" t="s">
        <v>9</v>
      </c>
      <c r="C34" s="25" t="str">
        <f t="shared" si="1"/>
        <v>Herbst</v>
      </c>
      <c r="D34" s="25">
        <f>INDEX(Wetter!B:M,MATCH(A34,Wetter!A:A,0),MATCH(B34,Wetter!B$1:M$1,0))</f>
        <v>10.35</v>
      </c>
      <c r="E34" s="26">
        <v>4986</v>
      </c>
      <c r="F34" s="27">
        <v>3638</v>
      </c>
      <c r="G34" s="35">
        <f>_xlfn.XLOOKUP(A34,Bevölkerung!A:A,Bevölkerung!B:B)</f>
        <v>6907959</v>
      </c>
      <c r="H34" s="28">
        <f t="shared" si="2"/>
        <v>1898.8342495876855</v>
      </c>
      <c r="I34" s="24">
        <f t="shared" si="3"/>
        <v>376.99481865284974</v>
      </c>
      <c r="J34" s="32">
        <f t="shared" si="4"/>
        <v>1.3705332600329851</v>
      </c>
      <c r="K34" s="25">
        <f t="shared" si="5"/>
        <v>1348</v>
      </c>
    </row>
    <row r="35" spans="1:11" x14ac:dyDescent="0.3">
      <c r="A35" s="25">
        <f t="shared" si="0"/>
        <v>1992</v>
      </c>
      <c r="B35" s="25" t="s">
        <v>10</v>
      </c>
      <c r="C35" s="25" t="str">
        <f t="shared" si="1"/>
        <v>Herbst</v>
      </c>
      <c r="D35" s="25">
        <f>INDEX(Wetter!B:M,MATCH(A35,Wetter!A:A,0),MATCH(B35,Wetter!B$1:M$1,0))</f>
        <v>3.94</v>
      </c>
      <c r="E35" s="26">
        <v>4818</v>
      </c>
      <c r="F35" s="27">
        <v>4105</v>
      </c>
      <c r="G35" s="35">
        <f>_xlfn.XLOOKUP(A35,Bevölkerung!A:A,Bevölkerung!B:B)</f>
        <v>6907959</v>
      </c>
      <c r="H35" s="28">
        <f t="shared" si="2"/>
        <v>1682.8158343483556</v>
      </c>
      <c r="I35" s="24">
        <f t="shared" si="3"/>
        <v>255.60398505603987</v>
      </c>
      <c r="J35" s="32">
        <f t="shared" si="4"/>
        <v>1.1736906211936662</v>
      </c>
      <c r="K35" s="25">
        <f t="shared" si="5"/>
        <v>713</v>
      </c>
    </row>
    <row r="36" spans="1:11" x14ac:dyDescent="0.3">
      <c r="A36" s="25">
        <f t="shared" si="0"/>
        <v>1992</v>
      </c>
      <c r="B36" s="25" t="s">
        <v>11</v>
      </c>
      <c r="C36" s="25" t="str">
        <f t="shared" si="1"/>
        <v>Herbst</v>
      </c>
      <c r="D36" s="25">
        <f>INDEX(Wetter!B:M,MATCH(A36,Wetter!A:A,0),MATCH(B36,Wetter!B$1:M$1,0))</f>
        <v>3.25</v>
      </c>
      <c r="E36" s="26">
        <v>4536</v>
      </c>
      <c r="F36" s="27">
        <v>4179</v>
      </c>
      <c r="G36" s="35">
        <f>_xlfn.XLOOKUP(A36,Bevölkerung!A:A,Bevölkerung!B:B)</f>
        <v>6907959</v>
      </c>
      <c r="H36" s="28">
        <f t="shared" si="2"/>
        <v>1653.0172290021537</v>
      </c>
      <c r="I36" s="24">
        <f t="shared" si="3"/>
        <v>249.49253731343285</v>
      </c>
      <c r="J36" s="32">
        <f t="shared" si="4"/>
        <v>1.085427135678392</v>
      </c>
      <c r="K36" s="25">
        <f t="shared" si="5"/>
        <v>357</v>
      </c>
    </row>
    <row r="37" spans="1:11" x14ac:dyDescent="0.3">
      <c r="A37" s="25">
        <f t="shared" si="0"/>
        <v>1992</v>
      </c>
      <c r="B37" s="25" t="s">
        <v>12</v>
      </c>
      <c r="C37" s="25" t="str">
        <f t="shared" si="1"/>
        <v>Winter</v>
      </c>
      <c r="D37" s="25">
        <f>INDEX(Wetter!B:M,MATCH(A37,Wetter!A:A,0),MATCH(B37,Wetter!B$1:M$1,0))</f>
        <v>-1.35</v>
      </c>
      <c r="E37" s="26">
        <v>4684</v>
      </c>
      <c r="F37" s="27">
        <v>4399</v>
      </c>
      <c r="G37" s="35">
        <f>_xlfn.XLOOKUP(A37,Bevölkerung!A:A,Bevölkerung!B:B)</f>
        <v>6907959</v>
      </c>
      <c r="H37" s="28">
        <f t="shared" si="2"/>
        <v>1570.3475789952263</v>
      </c>
      <c r="I37" s="24">
        <f t="shared" si="3"/>
        <v>206.04215456674473</v>
      </c>
      <c r="J37" s="32">
        <f t="shared" si="4"/>
        <v>1.0647874516935667</v>
      </c>
      <c r="K37" s="25">
        <f t="shared" si="5"/>
        <v>285</v>
      </c>
    </row>
    <row r="38" spans="1:11" x14ac:dyDescent="0.3">
      <c r="A38" s="25">
        <f t="shared" si="0"/>
        <v>1993</v>
      </c>
      <c r="B38" s="25" t="s">
        <v>1</v>
      </c>
      <c r="C38" s="25" t="str">
        <f t="shared" si="1"/>
        <v>Winter</v>
      </c>
      <c r="D38" s="25">
        <f>INDEX(Wetter!B:M,MATCH(A38,Wetter!A:A,0),MATCH(B38,Wetter!B$1:M$1,0))</f>
        <v>-0.04</v>
      </c>
      <c r="E38" s="26">
        <v>4706</v>
      </c>
      <c r="F38" s="27">
        <v>4477</v>
      </c>
      <c r="G38" s="35">
        <f>_xlfn.XLOOKUP(A38,Bevölkerung!A:A,Bevölkerung!B:B)</f>
        <v>6968570</v>
      </c>
      <c r="H38" s="28">
        <f t="shared" si="2"/>
        <v>1556.5266919812375</v>
      </c>
      <c r="I38" s="24">
        <f t="shared" si="3"/>
        <v>223.40319361277446</v>
      </c>
      <c r="J38" s="32">
        <f t="shared" si="4"/>
        <v>1.0511503238775965</v>
      </c>
      <c r="K38" s="25">
        <f t="shared" si="5"/>
        <v>229</v>
      </c>
    </row>
    <row r="39" spans="1:11" x14ac:dyDescent="0.3">
      <c r="A39" s="25">
        <f t="shared" si="0"/>
        <v>1993</v>
      </c>
      <c r="B39" s="25" t="s">
        <v>2</v>
      </c>
      <c r="C39" s="25" t="str">
        <f t="shared" si="1"/>
        <v>Winter</v>
      </c>
      <c r="D39" s="25">
        <f>INDEX(Wetter!B:M,MATCH(A39,Wetter!A:A,0),MATCH(B39,Wetter!B$1:M$1,0))</f>
        <v>-2.68</v>
      </c>
      <c r="E39" s="26">
        <v>4583</v>
      </c>
      <c r="F39" s="27">
        <v>4229</v>
      </c>
      <c r="G39" s="35">
        <f>_xlfn.XLOOKUP(A39,Bevölkerung!A:A,Bevölkerung!B:B)</f>
        <v>6968570</v>
      </c>
      <c r="H39" s="28">
        <f t="shared" si="2"/>
        <v>1647.8056278079923</v>
      </c>
      <c r="I39" s="24">
        <f t="shared" si="3"/>
        <v>186.46384479717813</v>
      </c>
      <c r="J39" s="32">
        <f t="shared" si="4"/>
        <v>1.0837077323244266</v>
      </c>
      <c r="K39" s="25">
        <f t="shared" si="5"/>
        <v>354</v>
      </c>
    </row>
    <row r="40" spans="1:11" x14ac:dyDescent="0.3">
      <c r="A40" s="25">
        <f t="shared" si="0"/>
        <v>1993</v>
      </c>
      <c r="B40" s="25" t="s">
        <v>3</v>
      </c>
      <c r="C40" s="25" t="str">
        <f t="shared" si="1"/>
        <v>Frühling</v>
      </c>
      <c r="D40" s="25">
        <f>INDEX(Wetter!B:M,MATCH(A40,Wetter!A:A,0),MATCH(B40,Wetter!B$1:M$1,0))</f>
        <v>-0.13</v>
      </c>
      <c r="E40" s="26">
        <v>4694</v>
      </c>
      <c r="F40" s="27">
        <v>4429</v>
      </c>
      <c r="G40" s="35">
        <f>_xlfn.XLOOKUP(A40,Bevölkerung!A:A,Bevölkerung!B:B)</f>
        <v>6968570</v>
      </c>
      <c r="H40" s="28">
        <f t="shared" si="2"/>
        <v>1573.3958004064123</v>
      </c>
      <c r="I40" s="24">
        <f t="shared" si="3"/>
        <v>220.01987083954299</v>
      </c>
      <c r="J40" s="32">
        <f t="shared" si="4"/>
        <v>1.0598329193948972</v>
      </c>
      <c r="K40" s="25">
        <f t="shared" si="5"/>
        <v>265</v>
      </c>
    </row>
    <row r="41" spans="1:11" x14ac:dyDescent="0.3">
      <c r="A41" s="25">
        <f t="shared" si="0"/>
        <v>1993</v>
      </c>
      <c r="B41" s="25" t="s">
        <v>4</v>
      </c>
      <c r="C41" s="25" t="str">
        <f t="shared" si="1"/>
        <v>Frühling</v>
      </c>
      <c r="D41" s="25">
        <f>INDEX(Wetter!B:M,MATCH(A41,Wetter!A:A,0),MATCH(B41,Wetter!B$1:M$1,0))</f>
        <v>5.04</v>
      </c>
      <c r="E41" s="26">
        <v>4070</v>
      </c>
      <c r="F41" s="27">
        <v>3682</v>
      </c>
      <c r="G41" s="35">
        <f>_xlfn.XLOOKUP(A41,Bevölkerung!A:A,Bevölkerung!B:B)</f>
        <v>6968570</v>
      </c>
      <c r="H41" s="28">
        <f t="shared" si="2"/>
        <v>1892.6045627376425</v>
      </c>
      <c r="I41" s="24">
        <f t="shared" si="3"/>
        <v>246.12299465240639</v>
      </c>
      <c r="J41" s="32">
        <f t="shared" si="4"/>
        <v>1.1053775122216187</v>
      </c>
      <c r="K41" s="25">
        <f t="shared" si="5"/>
        <v>388</v>
      </c>
    </row>
    <row r="42" spans="1:11" x14ac:dyDescent="0.3">
      <c r="A42" s="25">
        <f t="shared" si="0"/>
        <v>1993</v>
      </c>
      <c r="B42" s="25" t="s">
        <v>5</v>
      </c>
      <c r="C42" s="25" t="str">
        <f t="shared" si="1"/>
        <v>Frühling</v>
      </c>
      <c r="D42" s="25">
        <f>INDEX(Wetter!B:M,MATCH(A42,Wetter!A:A,0),MATCH(B42,Wetter!B$1:M$1,0))</f>
        <v>9.56</v>
      </c>
      <c r="E42" s="26">
        <v>4784</v>
      </c>
      <c r="F42" s="27">
        <v>3525</v>
      </c>
      <c r="G42" s="35">
        <f>_xlfn.XLOOKUP(A42,Bevölkerung!A:A,Bevölkerung!B:B)</f>
        <v>6968570</v>
      </c>
      <c r="H42" s="28">
        <f t="shared" si="2"/>
        <v>1976.8992907801419</v>
      </c>
      <c r="I42" s="24">
        <f t="shared" si="3"/>
        <v>337.64367816091954</v>
      </c>
      <c r="J42" s="32">
        <f t="shared" si="4"/>
        <v>1.357163120567376</v>
      </c>
      <c r="K42" s="25">
        <f t="shared" si="5"/>
        <v>1259</v>
      </c>
    </row>
    <row r="43" spans="1:11" x14ac:dyDescent="0.3">
      <c r="A43" s="25">
        <f t="shared" si="0"/>
        <v>1993</v>
      </c>
      <c r="B43" s="25" t="s">
        <v>6</v>
      </c>
      <c r="C43" s="25" t="str">
        <f t="shared" si="1"/>
        <v>Sommer</v>
      </c>
      <c r="D43" s="25">
        <f>INDEX(Wetter!B:M,MATCH(A43,Wetter!A:A,0),MATCH(B43,Wetter!B$1:M$1,0))</f>
        <v>12.09</v>
      </c>
      <c r="E43" s="26">
        <v>4958</v>
      </c>
      <c r="F43" s="27">
        <v>3510</v>
      </c>
      <c r="G43" s="35">
        <f>_xlfn.XLOOKUP(A43,Bevölkerung!A:A,Bevölkerung!B:B)</f>
        <v>6968570</v>
      </c>
      <c r="H43" s="28">
        <f t="shared" si="2"/>
        <v>1985.3475783475783</v>
      </c>
      <c r="I43" s="24">
        <f t="shared" si="3"/>
        <v>443.74209860935525</v>
      </c>
      <c r="J43" s="32">
        <f t="shared" si="4"/>
        <v>1.4125356125356126</v>
      </c>
      <c r="K43" s="25">
        <f t="shared" si="5"/>
        <v>1448</v>
      </c>
    </row>
    <row r="44" spans="1:11" x14ac:dyDescent="0.3">
      <c r="A44" s="25">
        <f t="shared" si="0"/>
        <v>1993</v>
      </c>
      <c r="B44" s="25" t="s">
        <v>7</v>
      </c>
      <c r="C44" s="25" t="str">
        <f t="shared" si="1"/>
        <v>Sommer</v>
      </c>
      <c r="D44" s="25">
        <f>INDEX(Wetter!B:M,MATCH(A44,Wetter!A:A,0),MATCH(B44,Wetter!B$1:M$1,0))</f>
        <v>12.41</v>
      </c>
      <c r="E44" s="26">
        <v>5588</v>
      </c>
      <c r="F44" s="27">
        <v>3377</v>
      </c>
      <c r="G44" s="35">
        <f>_xlfn.XLOOKUP(A44,Bevölkerung!A:A,Bevölkerung!B:B)</f>
        <v>6968570</v>
      </c>
      <c r="H44" s="28">
        <f t="shared" si="2"/>
        <v>2063.5386437666566</v>
      </c>
      <c r="I44" s="24">
        <f t="shared" si="3"/>
        <v>444.92753623188406</v>
      </c>
      <c r="J44" s="32">
        <f t="shared" si="4"/>
        <v>1.6547231270358307</v>
      </c>
      <c r="K44" s="25">
        <f t="shared" si="5"/>
        <v>2211</v>
      </c>
    </row>
    <row r="45" spans="1:11" x14ac:dyDescent="0.3">
      <c r="A45" s="25">
        <f t="shared" si="0"/>
        <v>1993</v>
      </c>
      <c r="B45" s="25" t="s">
        <v>8</v>
      </c>
      <c r="C45" s="25" t="str">
        <f t="shared" si="1"/>
        <v>Sommer</v>
      </c>
      <c r="D45" s="25">
        <f>INDEX(Wetter!B:M,MATCH(A45,Wetter!A:A,0),MATCH(B45,Wetter!B$1:M$1,0))</f>
        <v>13.84</v>
      </c>
      <c r="E45" s="26">
        <v>4702</v>
      </c>
      <c r="F45" s="27">
        <v>3415</v>
      </c>
      <c r="G45" s="35">
        <f>_xlfn.XLOOKUP(A45,Bevölkerung!A:A,Bevölkerung!B:B)</f>
        <v>6968570</v>
      </c>
      <c r="H45" s="28">
        <f t="shared" si="2"/>
        <v>2040.5768667642753</v>
      </c>
      <c r="I45" s="24">
        <f t="shared" si="3"/>
        <v>554.38311688311683</v>
      </c>
      <c r="J45" s="32">
        <f t="shared" si="4"/>
        <v>1.3768667642752561</v>
      </c>
      <c r="K45" s="25">
        <f t="shared" si="5"/>
        <v>1287</v>
      </c>
    </row>
    <row r="46" spans="1:11" x14ac:dyDescent="0.3">
      <c r="A46" s="25">
        <f t="shared" si="0"/>
        <v>1993</v>
      </c>
      <c r="B46" s="25" t="s">
        <v>9</v>
      </c>
      <c r="C46" s="25" t="str">
        <f t="shared" si="1"/>
        <v>Herbst</v>
      </c>
      <c r="D46" s="25">
        <f>INDEX(Wetter!B:M,MATCH(A46,Wetter!A:A,0),MATCH(B46,Wetter!B$1:M$1,0))</f>
        <v>8.84</v>
      </c>
      <c r="E46" s="26">
        <v>5236</v>
      </c>
      <c r="F46" s="27">
        <v>3664</v>
      </c>
      <c r="G46" s="35">
        <f>_xlfn.XLOOKUP(A46,Bevölkerung!A:A,Bevölkerung!B:B)</f>
        <v>6968570</v>
      </c>
      <c r="H46" s="28">
        <f t="shared" si="2"/>
        <v>1901.9022925764193</v>
      </c>
      <c r="I46" s="24">
        <f t="shared" si="3"/>
        <v>328.31541218637994</v>
      </c>
      <c r="J46" s="32">
        <f t="shared" si="4"/>
        <v>1.4290393013100438</v>
      </c>
      <c r="K46" s="25">
        <f t="shared" si="5"/>
        <v>1572</v>
      </c>
    </row>
    <row r="47" spans="1:11" x14ac:dyDescent="0.3">
      <c r="A47" s="25">
        <f t="shared" si="0"/>
        <v>1993</v>
      </c>
      <c r="B47" s="25" t="s">
        <v>10</v>
      </c>
      <c r="C47" s="25" t="str">
        <f t="shared" si="1"/>
        <v>Herbst</v>
      </c>
      <c r="D47" s="25">
        <f>INDEX(Wetter!B:M,MATCH(A47,Wetter!A:A,0),MATCH(B47,Wetter!B$1:M$1,0))</f>
        <v>4.7699999999999996</v>
      </c>
      <c r="E47" s="26">
        <v>6346</v>
      </c>
      <c r="F47" s="27">
        <v>4045</v>
      </c>
      <c r="G47" s="35">
        <f>_xlfn.XLOOKUP(A47,Bevölkerung!A:A,Bevölkerung!B:B)</f>
        <v>6968570</v>
      </c>
      <c r="H47" s="28">
        <f t="shared" si="2"/>
        <v>1722.7614338689741</v>
      </c>
      <c r="I47" s="24">
        <f t="shared" si="3"/>
        <v>265.59422193040052</v>
      </c>
      <c r="J47" s="32">
        <f t="shared" si="4"/>
        <v>1.56885043263288</v>
      </c>
      <c r="K47" s="25">
        <f t="shared" si="5"/>
        <v>2301</v>
      </c>
    </row>
    <row r="48" spans="1:11" x14ac:dyDescent="0.3">
      <c r="A48" s="25">
        <f t="shared" si="0"/>
        <v>1993</v>
      </c>
      <c r="B48" s="25" t="s">
        <v>11</v>
      </c>
      <c r="C48" s="25" t="str">
        <f t="shared" si="1"/>
        <v>Herbst</v>
      </c>
      <c r="D48" s="25">
        <f>INDEX(Wetter!B:M,MATCH(A48,Wetter!A:A,0),MATCH(B48,Wetter!B$1:M$1,0))</f>
        <v>-1.04</v>
      </c>
      <c r="E48" s="26">
        <v>5068</v>
      </c>
      <c r="F48" s="27">
        <v>4436</v>
      </c>
      <c r="G48" s="35">
        <f>_xlfn.XLOOKUP(A48,Bevölkerung!A:A,Bevölkerung!B:B)</f>
        <v>6968570</v>
      </c>
      <c r="H48" s="28">
        <f t="shared" si="2"/>
        <v>1570.9129846708747</v>
      </c>
      <c r="I48" s="24">
        <f t="shared" si="3"/>
        <v>210.83650190114071</v>
      </c>
      <c r="J48" s="32">
        <f t="shared" si="4"/>
        <v>1.1424706943192064</v>
      </c>
      <c r="K48" s="25">
        <f t="shared" si="5"/>
        <v>632</v>
      </c>
    </row>
    <row r="49" spans="1:11" x14ac:dyDescent="0.3">
      <c r="A49" s="25">
        <f t="shared" si="0"/>
        <v>1993</v>
      </c>
      <c r="B49" s="25" t="s">
        <v>12</v>
      </c>
      <c r="C49" s="25" t="str">
        <f t="shared" si="1"/>
        <v>Winter</v>
      </c>
      <c r="D49" s="25">
        <f>INDEX(Wetter!B:M,MATCH(A49,Wetter!A:A,0),MATCH(B49,Wetter!B$1:M$1,0))</f>
        <v>-0.5</v>
      </c>
      <c r="E49" s="26">
        <v>4578</v>
      </c>
      <c r="F49" s="27">
        <v>4450</v>
      </c>
      <c r="G49" s="35">
        <f>_xlfn.XLOOKUP(A49,Bevölkerung!A:A,Bevölkerung!B:B)</f>
        <v>6968570</v>
      </c>
      <c r="H49" s="28">
        <f t="shared" si="2"/>
        <v>1565.9707865168539</v>
      </c>
      <c r="I49" s="24">
        <f t="shared" si="3"/>
        <v>217.07317073170731</v>
      </c>
      <c r="J49" s="32">
        <f t="shared" si="4"/>
        <v>1.0287640449438202</v>
      </c>
      <c r="K49" s="25">
        <f t="shared" si="5"/>
        <v>128</v>
      </c>
    </row>
    <row r="50" spans="1:11" x14ac:dyDescent="0.3">
      <c r="A50" s="25">
        <f t="shared" si="0"/>
        <v>1994</v>
      </c>
      <c r="B50" s="25" t="s">
        <v>1</v>
      </c>
      <c r="C50" s="25" t="str">
        <f t="shared" si="1"/>
        <v>Winter</v>
      </c>
      <c r="D50" s="25">
        <f>INDEX(Wetter!B:M,MATCH(A50,Wetter!A:A,0),MATCH(B50,Wetter!B$1:M$1,0))</f>
        <v>-1.44</v>
      </c>
      <c r="E50" s="26">
        <v>4937</v>
      </c>
      <c r="F50" s="27">
        <v>4501</v>
      </c>
      <c r="G50" s="35">
        <f>_xlfn.XLOOKUP(A50,Bevölkerung!A:A,Bevölkerung!B:B)</f>
        <v>7019019</v>
      </c>
      <c r="H50" s="28">
        <f t="shared" si="2"/>
        <v>1559.4354587869361</v>
      </c>
      <c r="I50" s="24">
        <f t="shared" si="3"/>
        <v>209.9347014925373</v>
      </c>
      <c r="J50" s="32">
        <f t="shared" si="4"/>
        <v>1.0968673628082648</v>
      </c>
      <c r="K50" s="25">
        <f t="shared" si="5"/>
        <v>436</v>
      </c>
    </row>
    <row r="51" spans="1:11" x14ac:dyDescent="0.3">
      <c r="A51" s="25">
        <f t="shared" si="0"/>
        <v>1994</v>
      </c>
      <c r="B51" s="25" t="s">
        <v>2</v>
      </c>
      <c r="C51" s="25" t="str">
        <f t="shared" si="1"/>
        <v>Winter</v>
      </c>
      <c r="D51" s="25">
        <f>INDEX(Wetter!B:M,MATCH(A51,Wetter!A:A,0),MATCH(B51,Wetter!B$1:M$1,0))</f>
        <v>-1.94</v>
      </c>
      <c r="E51" s="26">
        <v>4799</v>
      </c>
      <c r="F51" s="27">
        <v>4193</v>
      </c>
      <c r="G51" s="35">
        <f>_xlfn.XLOOKUP(A51,Bevölkerung!A:A,Bevölkerung!B:B)</f>
        <v>7019019</v>
      </c>
      <c r="H51" s="28">
        <f t="shared" si="2"/>
        <v>1673.9849749582638</v>
      </c>
      <c r="I51" s="24">
        <f t="shared" si="3"/>
        <v>191.11212397447582</v>
      </c>
      <c r="J51" s="32">
        <f t="shared" si="4"/>
        <v>1.1445265919389458</v>
      </c>
      <c r="K51" s="25">
        <f t="shared" si="5"/>
        <v>606</v>
      </c>
    </row>
    <row r="52" spans="1:11" x14ac:dyDescent="0.3">
      <c r="A52" s="25">
        <f t="shared" si="0"/>
        <v>1994</v>
      </c>
      <c r="B52" s="25" t="s">
        <v>3</v>
      </c>
      <c r="C52" s="25" t="str">
        <f t="shared" si="1"/>
        <v>Frühling</v>
      </c>
      <c r="D52" s="25">
        <f>INDEX(Wetter!B:M,MATCH(A52,Wetter!A:A,0),MATCH(B52,Wetter!B$1:M$1,0))</f>
        <v>4.33</v>
      </c>
      <c r="E52" s="26">
        <v>5004</v>
      </c>
      <c r="F52" s="27">
        <v>4117</v>
      </c>
      <c r="G52" s="35">
        <f>_xlfn.XLOOKUP(A52,Bevölkerung!A:A,Bevölkerung!B:B)</f>
        <v>7019019</v>
      </c>
      <c r="H52" s="28">
        <f t="shared" si="2"/>
        <v>1704.8868107845519</v>
      </c>
      <c r="I52" s="24">
        <f t="shared" si="3"/>
        <v>262.73133375877472</v>
      </c>
      <c r="J52" s="32">
        <f t="shared" si="4"/>
        <v>1.2154481418508623</v>
      </c>
      <c r="K52" s="25">
        <f t="shared" si="5"/>
        <v>887</v>
      </c>
    </row>
    <row r="53" spans="1:11" x14ac:dyDescent="0.3">
      <c r="A53" s="25">
        <f t="shared" si="0"/>
        <v>1994</v>
      </c>
      <c r="B53" s="25" t="s">
        <v>4</v>
      </c>
      <c r="C53" s="25" t="str">
        <f t="shared" si="1"/>
        <v>Frühling</v>
      </c>
      <c r="D53" s="25">
        <f>INDEX(Wetter!B:M,MATCH(A53,Wetter!A:A,0),MATCH(B53,Wetter!B$1:M$1,0))</f>
        <v>2.4300000000000002</v>
      </c>
      <c r="E53" s="26">
        <v>4903</v>
      </c>
      <c r="F53" s="27">
        <v>3856</v>
      </c>
      <c r="G53" s="35">
        <f>_xlfn.XLOOKUP(A53,Bevölkerung!A:A,Bevölkerung!B:B)</f>
        <v>7019019</v>
      </c>
      <c r="H53" s="28">
        <f t="shared" si="2"/>
        <v>1820.285010373444</v>
      </c>
      <c r="I53" s="24">
        <f t="shared" si="3"/>
        <v>219.46499715424017</v>
      </c>
      <c r="J53" s="32">
        <f t="shared" si="4"/>
        <v>1.2715248962655601</v>
      </c>
      <c r="K53" s="25">
        <f t="shared" si="5"/>
        <v>1047</v>
      </c>
    </row>
    <row r="54" spans="1:11" x14ac:dyDescent="0.3">
      <c r="A54" s="25">
        <f t="shared" si="0"/>
        <v>1994</v>
      </c>
      <c r="B54" s="25" t="s">
        <v>5</v>
      </c>
      <c r="C54" s="25" t="str">
        <f t="shared" si="1"/>
        <v>Frühling</v>
      </c>
      <c r="D54" s="25">
        <f>INDEX(Wetter!B:M,MATCH(A54,Wetter!A:A,0),MATCH(B54,Wetter!B$1:M$1,0))</f>
        <v>8.7200000000000006</v>
      </c>
      <c r="E54" s="26">
        <v>5568</v>
      </c>
      <c r="F54" s="27">
        <v>3629</v>
      </c>
      <c r="G54" s="35">
        <f>_xlfn.XLOOKUP(A54,Bevölkerung!A:A,Bevölkerung!B:B)</f>
        <v>7019019</v>
      </c>
      <c r="H54" s="28">
        <f t="shared" si="2"/>
        <v>1934.1468724166436</v>
      </c>
      <c r="I54" s="24">
        <f t="shared" si="3"/>
        <v>321.71985815602841</v>
      </c>
      <c r="J54" s="32">
        <f t="shared" si="4"/>
        <v>1.5343069716175255</v>
      </c>
      <c r="K54" s="25">
        <f t="shared" si="5"/>
        <v>1939</v>
      </c>
    </row>
    <row r="55" spans="1:11" x14ac:dyDescent="0.3">
      <c r="A55" s="25">
        <f t="shared" si="0"/>
        <v>1994</v>
      </c>
      <c r="B55" s="25" t="s">
        <v>6</v>
      </c>
      <c r="C55" s="25" t="str">
        <f t="shared" si="1"/>
        <v>Sommer</v>
      </c>
      <c r="D55" s="25">
        <f>INDEX(Wetter!B:M,MATCH(A55,Wetter!A:A,0),MATCH(B55,Wetter!B$1:M$1,0))</f>
        <v>12.17</v>
      </c>
      <c r="E55" s="26">
        <v>5540</v>
      </c>
      <c r="F55" s="27">
        <v>3613</v>
      </c>
      <c r="G55" s="35">
        <f>_xlfn.XLOOKUP(A55,Bevölkerung!A:A,Bevölkerung!B:B)</f>
        <v>7019019</v>
      </c>
      <c r="H55" s="28">
        <f t="shared" si="2"/>
        <v>1942.7121505673956</v>
      </c>
      <c r="I55" s="24">
        <f t="shared" si="3"/>
        <v>461.43039591315454</v>
      </c>
      <c r="J55" s="32">
        <f t="shared" si="4"/>
        <v>1.5333517852200387</v>
      </c>
      <c r="K55" s="25">
        <f t="shared" si="5"/>
        <v>1927</v>
      </c>
    </row>
    <row r="56" spans="1:11" x14ac:dyDescent="0.3">
      <c r="A56" s="25">
        <f t="shared" si="0"/>
        <v>1994</v>
      </c>
      <c r="B56" s="25" t="s">
        <v>7</v>
      </c>
      <c r="C56" s="25" t="str">
        <f t="shared" si="1"/>
        <v>Sommer</v>
      </c>
      <c r="D56" s="25">
        <f>INDEX(Wetter!B:M,MATCH(A56,Wetter!A:A,0),MATCH(B56,Wetter!B$1:M$1,0))</f>
        <v>16.559999999999999</v>
      </c>
      <c r="E56" s="26">
        <v>5842</v>
      </c>
      <c r="F56" s="27">
        <v>3358</v>
      </c>
      <c r="G56" s="35">
        <f>_xlfn.XLOOKUP(A56,Bevölkerung!A:A,Bevölkerung!B:B)</f>
        <v>7019019</v>
      </c>
      <c r="H56" s="28">
        <f t="shared" si="2"/>
        <v>2090.2379392495532</v>
      </c>
      <c r="I56" s="24">
        <f t="shared" si="3"/>
        <v>976.16279069767404</v>
      </c>
      <c r="J56" s="32">
        <f t="shared" si="4"/>
        <v>1.7397260273972603</v>
      </c>
      <c r="K56" s="25">
        <f t="shared" si="5"/>
        <v>2484</v>
      </c>
    </row>
    <row r="57" spans="1:11" x14ac:dyDescent="0.3">
      <c r="A57" s="25">
        <f t="shared" si="0"/>
        <v>1994</v>
      </c>
      <c r="B57" s="25" t="s">
        <v>8</v>
      </c>
      <c r="C57" s="25" t="str">
        <f t="shared" si="1"/>
        <v>Sommer</v>
      </c>
      <c r="D57" s="25">
        <f>INDEX(Wetter!B:M,MATCH(A57,Wetter!A:A,0),MATCH(B57,Wetter!B$1:M$1,0))</f>
        <v>15.01</v>
      </c>
      <c r="E57" s="26">
        <v>5383</v>
      </c>
      <c r="F57" s="27">
        <v>3431</v>
      </c>
      <c r="G57" s="35">
        <f>_xlfn.XLOOKUP(A57,Bevölkerung!A:A,Bevölkerung!B:B)</f>
        <v>7019019</v>
      </c>
      <c r="H57" s="28">
        <f t="shared" si="2"/>
        <v>2045.7647916059459</v>
      </c>
      <c r="I57" s="24">
        <f t="shared" si="3"/>
        <v>687.57515030060119</v>
      </c>
      <c r="J57" s="32">
        <f t="shared" si="4"/>
        <v>1.5689303410084523</v>
      </c>
      <c r="K57" s="25">
        <f t="shared" si="5"/>
        <v>1952</v>
      </c>
    </row>
    <row r="58" spans="1:11" x14ac:dyDescent="0.3">
      <c r="A58" s="25">
        <f t="shared" si="0"/>
        <v>1994</v>
      </c>
      <c r="B58" s="25" t="s">
        <v>9</v>
      </c>
      <c r="C58" s="25" t="str">
        <f t="shared" si="1"/>
        <v>Herbst</v>
      </c>
      <c r="D58" s="25">
        <f>INDEX(Wetter!B:M,MATCH(A58,Wetter!A:A,0),MATCH(B58,Wetter!B$1:M$1,0))</f>
        <v>9.73</v>
      </c>
      <c r="E58" s="26">
        <v>6198</v>
      </c>
      <c r="F58" s="27">
        <v>3696</v>
      </c>
      <c r="G58" s="35">
        <f>_xlfn.XLOOKUP(A58,Bevölkerung!A:A,Bevölkerung!B:B)</f>
        <v>7019019</v>
      </c>
      <c r="H58" s="28">
        <f t="shared" si="2"/>
        <v>1899.0852272727273</v>
      </c>
      <c r="I58" s="24">
        <f t="shared" si="3"/>
        <v>359.88315481986371</v>
      </c>
      <c r="J58" s="32">
        <f t="shared" si="4"/>
        <v>1.676948051948052</v>
      </c>
      <c r="K58" s="25">
        <f t="shared" si="5"/>
        <v>2502</v>
      </c>
    </row>
    <row r="59" spans="1:11" x14ac:dyDescent="0.3">
      <c r="A59" s="25">
        <f t="shared" si="0"/>
        <v>1994</v>
      </c>
      <c r="B59" s="25" t="s">
        <v>10</v>
      </c>
      <c r="C59" s="25" t="str">
        <f t="shared" si="1"/>
        <v>Herbst</v>
      </c>
      <c r="D59" s="25">
        <f>INDEX(Wetter!B:M,MATCH(A59,Wetter!A:A,0),MATCH(B59,Wetter!B$1:M$1,0))</f>
        <v>6.18</v>
      </c>
      <c r="E59" s="26">
        <v>5455</v>
      </c>
      <c r="F59" s="27">
        <v>3989</v>
      </c>
      <c r="G59" s="35">
        <f>_xlfn.XLOOKUP(A59,Bevölkerung!A:A,Bevölkerung!B:B)</f>
        <v>7019019</v>
      </c>
      <c r="H59" s="28">
        <f t="shared" si="2"/>
        <v>1759.5936324893457</v>
      </c>
      <c r="I59" s="24">
        <f t="shared" si="3"/>
        <v>288.63965267727929</v>
      </c>
      <c r="J59" s="32">
        <f t="shared" si="4"/>
        <v>1.3675106542993232</v>
      </c>
      <c r="K59" s="25">
        <f t="shared" si="5"/>
        <v>1466</v>
      </c>
    </row>
    <row r="60" spans="1:11" x14ac:dyDescent="0.3">
      <c r="A60" s="25">
        <f t="shared" si="0"/>
        <v>1994</v>
      </c>
      <c r="B60" s="25" t="s">
        <v>11</v>
      </c>
      <c r="C60" s="25" t="str">
        <f t="shared" si="1"/>
        <v>Herbst</v>
      </c>
      <c r="D60" s="25">
        <f>INDEX(Wetter!B:M,MATCH(A60,Wetter!A:A,0),MATCH(B60,Wetter!B$1:M$1,0))</f>
        <v>4.75</v>
      </c>
      <c r="E60" s="26">
        <v>5034</v>
      </c>
      <c r="F60" s="27">
        <v>4124</v>
      </c>
      <c r="G60" s="35">
        <f>_xlfn.XLOOKUP(A60,Bevölkerung!A:A,Bevölkerung!B:B)</f>
        <v>7019019</v>
      </c>
      <c r="H60" s="28">
        <f t="shared" si="2"/>
        <v>1701.9929679922404</v>
      </c>
      <c r="I60" s="24">
        <f t="shared" si="3"/>
        <v>270.42622950819674</v>
      </c>
      <c r="J60" s="32">
        <f t="shared" si="4"/>
        <v>1.2206595538312317</v>
      </c>
      <c r="K60" s="25">
        <f t="shared" si="5"/>
        <v>910</v>
      </c>
    </row>
    <row r="61" spans="1:11" x14ac:dyDescent="0.3">
      <c r="A61" s="25">
        <f t="shared" si="0"/>
        <v>1994</v>
      </c>
      <c r="B61" s="25" t="s">
        <v>12</v>
      </c>
      <c r="C61" s="25" t="str">
        <f t="shared" si="1"/>
        <v>Winter</v>
      </c>
      <c r="D61" s="25">
        <f>INDEX(Wetter!B:M,MATCH(A61,Wetter!A:A,0),MATCH(B61,Wetter!B$1:M$1,0))</f>
        <v>0.11</v>
      </c>
      <c r="E61" s="26">
        <v>4998</v>
      </c>
      <c r="F61" s="27">
        <v>4390</v>
      </c>
      <c r="G61" s="35">
        <f>_xlfn.XLOOKUP(A61,Bevölkerung!A:A,Bevölkerung!B:B)</f>
        <v>7019019</v>
      </c>
      <c r="H61" s="28">
        <f t="shared" si="2"/>
        <v>1598.8653758542141</v>
      </c>
      <c r="I61" s="24">
        <f t="shared" si="3"/>
        <v>220.71392659627952</v>
      </c>
      <c r="J61" s="32">
        <f t="shared" si="4"/>
        <v>1.1384965831435079</v>
      </c>
      <c r="K61" s="25">
        <f t="shared" si="5"/>
        <v>608</v>
      </c>
    </row>
    <row r="62" spans="1:11" x14ac:dyDescent="0.3">
      <c r="A62" s="25">
        <f t="shared" si="0"/>
        <v>1995</v>
      </c>
      <c r="B62" s="25" t="s">
        <v>1</v>
      </c>
      <c r="C62" s="25" t="str">
        <f t="shared" si="1"/>
        <v>Winter</v>
      </c>
      <c r="D62" s="25">
        <f>INDEX(Wetter!B:M,MATCH(A62,Wetter!A:A,0),MATCH(B62,Wetter!B$1:M$1,0))</f>
        <v>-3.79</v>
      </c>
      <c r="E62" s="26">
        <v>5317</v>
      </c>
      <c r="F62" s="27">
        <v>4822</v>
      </c>
      <c r="G62" s="35">
        <f>_xlfn.XLOOKUP(A62,Bevölkerung!A:A,Bevölkerung!B:B)</f>
        <v>7062354</v>
      </c>
      <c r="H62" s="28">
        <f t="shared" si="2"/>
        <v>1464.6109498133555</v>
      </c>
      <c r="I62" s="24">
        <f t="shared" si="3"/>
        <v>202.6902059688945</v>
      </c>
      <c r="J62" s="32">
        <f t="shared" si="4"/>
        <v>1.1026545002073829</v>
      </c>
      <c r="K62" s="25">
        <f t="shared" si="5"/>
        <v>495</v>
      </c>
    </row>
    <row r="63" spans="1:11" x14ac:dyDescent="0.3">
      <c r="A63" s="25">
        <f t="shared" si="0"/>
        <v>1995</v>
      </c>
      <c r="B63" s="25" t="s">
        <v>2</v>
      </c>
      <c r="C63" s="25" t="str">
        <f t="shared" si="1"/>
        <v>Winter</v>
      </c>
      <c r="D63" s="25">
        <f>INDEX(Wetter!B:M,MATCH(A63,Wetter!A:A,0),MATCH(B63,Wetter!B$1:M$1,0))</f>
        <v>0.64</v>
      </c>
      <c r="E63" s="26">
        <v>4626</v>
      </c>
      <c r="F63" s="27">
        <v>4065</v>
      </c>
      <c r="G63" s="35">
        <f>_xlfn.XLOOKUP(A63,Bevölkerung!A:A,Bevölkerung!B:B)</f>
        <v>7062354</v>
      </c>
      <c r="H63" s="28">
        <f t="shared" si="2"/>
        <v>1737.3564575645757</v>
      </c>
      <c r="I63" s="24">
        <f t="shared" si="3"/>
        <v>209.96900826446281</v>
      </c>
      <c r="J63" s="32">
        <f t="shared" si="4"/>
        <v>1.1380073800738006</v>
      </c>
      <c r="K63" s="25">
        <f t="shared" si="5"/>
        <v>561</v>
      </c>
    </row>
    <row r="64" spans="1:11" x14ac:dyDescent="0.3">
      <c r="A64" s="25">
        <f t="shared" si="0"/>
        <v>1995</v>
      </c>
      <c r="B64" s="25" t="s">
        <v>3</v>
      </c>
      <c r="C64" s="25" t="str">
        <f t="shared" si="1"/>
        <v>Frühling</v>
      </c>
      <c r="D64" s="25">
        <f>INDEX(Wetter!B:M,MATCH(A64,Wetter!A:A,0),MATCH(B64,Wetter!B$1:M$1,0))</f>
        <v>-1.1499999999999999</v>
      </c>
      <c r="E64" s="26">
        <v>5115</v>
      </c>
      <c r="F64" s="27">
        <v>4473</v>
      </c>
      <c r="G64" s="35">
        <f>_xlfn.XLOOKUP(A64,Bevölkerung!A:A,Bevölkerung!B:B)</f>
        <v>7062354</v>
      </c>
      <c r="H64" s="28">
        <f t="shared" si="2"/>
        <v>1578.8853118712273</v>
      </c>
      <c r="I64" s="24">
        <f t="shared" si="3"/>
        <v>211.48936170212767</v>
      </c>
      <c r="J64" s="32">
        <f t="shared" si="4"/>
        <v>1.1435278336686787</v>
      </c>
      <c r="K64" s="25">
        <f t="shared" si="5"/>
        <v>642</v>
      </c>
    </row>
    <row r="65" spans="1:11" x14ac:dyDescent="0.3">
      <c r="A65" s="25">
        <f t="shared" si="0"/>
        <v>1995</v>
      </c>
      <c r="B65" s="25" t="s">
        <v>4</v>
      </c>
      <c r="C65" s="25" t="str">
        <f t="shared" si="1"/>
        <v>Frühling</v>
      </c>
      <c r="D65" s="25">
        <f>INDEX(Wetter!B:M,MATCH(A65,Wetter!A:A,0),MATCH(B65,Wetter!B$1:M$1,0))</f>
        <v>4.28</v>
      </c>
      <c r="E65" s="26">
        <v>4488</v>
      </c>
      <c r="F65" s="27">
        <v>3733</v>
      </c>
      <c r="G65" s="35">
        <f>_xlfn.XLOOKUP(A65,Bevölkerung!A:A,Bevölkerung!B:B)</f>
        <v>7062354</v>
      </c>
      <c r="H65" s="28">
        <f t="shared" si="2"/>
        <v>1891.8708813286901</v>
      </c>
      <c r="I65" s="24">
        <f t="shared" si="3"/>
        <v>237.46819338422392</v>
      </c>
      <c r="J65" s="32">
        <f t="shared" si="4"/>
        <v>1.2022502009107956</v>
      </c>
      <c r="K65" s="25">
        <f t="shared" si="5"/>
        <v>755</v>
      </c>
    </row>
    <row r="66" spans="1:11" x14ac:dyDescent="0.3">
      <c r="A66" s="25">
        <f t="shared" si="0"/>
        <v>1995</v>
      </c>
      <c r="B66" s="25" t="s">
        <v>5</v>
      </c>
      <c r="C66" s="25" t="str">
        <f t="shared" si="1"/>
        <v>Frühling</v>
      </c>
      <c r="D66" s="25">
        <f>INDEX(Wetter!B:M,MATCH(A66,Wetter!A:A,0),MATCH(B66,Wetter!B$1:M$1,0))</f>
        <v>8.0500000000000007</v>
      </c>
      <c r="E66" s="26">
        <v>5497</v>
      </c>
      <c r="F66" s="27">
        <v>3716</v>
      </c>
      <c r="G66" s="35">
        <f>_xlfn.XLOOKUP(A66,Bevölkerung!A:A,Bevölkerung!B:B)</f>
        <v>7062354</v>
      </c>
      <c r="H66" s="28">
        <f t="shared" si="2"/>
        <v>1900.5258342303553</v>
      </c>
      <c r="I66" s="24">
        <f t="shared" ref="I66:I129" si="6">F66/(20-D66)</f>
        <v>310.96234309623435</v>
      </c>
      <c r="J66" s="32">
        <f t="shared" si="4"/>
        <v>1.4792787944025834</v>
      </c>
      <c r="K66" s="25">
        <f t="shared" si="5"/>
        <v>1781</v>
      </c>
    </row>
    <row r="67" spans="1:11" x14ac:dyDescent="0.3">
      <c r="A67" s="25">
        <f t="shared" ref="A67:A130" si="7">1990+INT((ROW(A66)-1)/12)</f>
        <v>1995</v>
      </c>
      <c r="B67" s="25" t="s">
        <v>6</v>
      </c>
      <c r="C67" s="25" t="str">
        <f t="shared" ref="C67:C130" si="8">IF(OR(B67="dec",B67="jan",B67="feb"),"Winter",IF(OR(B67="mar",B67="apr",B67="may"),"Frühling",IF(OR(B67="jun",B67="jul",B67="aug"),"Sommer","Herbst")))</f>
        <v>Sommer</v>
      </c>
      <c r="D67" s="25">
        <f>INDEX(Wetter!B:M,MATCH(A67,Wetter!A:A,0),MATCH(B67,Wetter!B$1:M$1,0))</f>
        <v>9.86</v>
      </c>
      <c r="E67" s="26">
        <v>5355</v>
      </c>
      <c r="F67" s="27">
        <v>3616</v>
      </c>
      <c r="G67" s="35">
        <f>_xlfn.XLOOKUP(A67,Bevölkerung!A:A,Bevölkerung!B:B)</f>
        <v>7062354</v>
      </c>
      <c r="H67" s="28">
        <f t="shared" ref="H67:H130" si="9">G67/F67</f>
        <v>1953.0846238938052</v>
      </c>
      <c r="I67" s="24">
        <f t="shared" si="6"/>
        <v>356.60749506903352</v>
      </c>
      <c r="J67" s="32">
        <f t="shared" ref="J67:J130" si="10">E67/F67</f>
        <v>1.4809181415929205</v>
      </c>
      <c r="K67" s="25">
        <f t="shared" ref="K67:K130" si="11">E67-F67</f>
        <v>1739</v>
      </c>
    </row>
    <row r="68" spans="1:11" x14ac:dyDescent="0.3">
      <c r="A68" s="25">
        <f t="shared" si="7"/>
        <v>1995</v>
      </c>
      <c r="B68" s="25" t="s">
        <v>7</v>
      </c>
      <c r="C68" s="25" t="str">
        <f t="shared" si="8"/>
        <v>Sommer</v>
      </c>
      <c r="D68" s="25">
        <f>INDEX(Wetter!B:M,MATCH(A68,Wetter!A:A,0),MATCH(B68,Wetter!B$1:M$1,0))</f>
        <v>16.09</v>
      </c>
      <c r="E68" s="26">
        <v>5834</v>
      </c>
      <c r="F68" s="27">
        <v>3426</v>
      </c>
      <c r="G68" s="35">
        <f>_xlfn.XLOOKUP(A68,Bevölkerung!A:A,Bevölkerung!B:B)</f>
        <v>7062354</v>
      </c>
      <c r="H68" s="28">
        <f t="shared" si="9"/>
        <v>2061.3992994746059</v>
      </c>
      <c r="I68" s="24">
        <f t="shared" si="6"/>
        <v>876.21483375959076</v>
      </c>
      <c r="J68" s="32">
        <f t="shared" si="10"/>
        <v>1.7028604786923527</v>
      </c>
      <c r="K68" s="25">
        <f t="shared" si="11"/>
        <v>2408</v>
      </c>
    </row>
    <row r="69" spans="1:11" x14ac:dyDescent="0.3">
      <c r="A69" s="25">
        <f t="shared" si="7"/>
        <v>1995</v>
      </c>
      <c r="B69" s="25" t="s">
        <v>8</v>
      </c>
      <c r="C69" s="25" t="str">
        <f t="shared" si="8"/>
        <v>Sommer</v>
      </c>
      <c r="D69" s="25">
        <f>INDEX(Wetter!B:M,MATCH(A69,Wetter!A:A,0),MATCH(B69,Wetter!B$1:M$1,0))</f>
        <v>13</v>
      </c>
      <c r="E69" s="26">
        <v>4865</v>
      </c>
      <c r="F69" s="27">
        <v>3477</v>
      </c>
      <c r="G69" s="35">
        <f>_xlfn.XLOOKUP(A69,Bevölkerung!A:A,Bevölkerung!B:B)</f>
        <v>7062354</v>
      </c>
      <c r="H69" s="28">
        <f t="shared" si="9"/>
        <v>2031.1630716134598</v>
      </c>
      <c r="I69" s="24">
        <f t="shared" si="6"/>
        <v>496.71428571428572</v>
      </c>
      <c r="J69" s="32">
        <f t="shared" si="10"/>
        <v>1.3991947080816796</v>
      </c>
      <c r="K69" s="25">
        <f t="shared" si="11"/>
        <v>1388</v>
      </c>
    </row>
    <row r="70" spans="1:11" x14ac:dyDescent="0.3">
      <c r="A70" s="25">
        <f t="shared" si="7"/>
        <v>1995</v>
      </c>
      <c r="B70" s="25" t="s">
        <v>9</v>
      </c>
      <c r="C70" s="25" t="str">
        <f t="shared" si="8"/>
        <v>Herbst</v>
      </c>
      <c r="D70" s="25">
        <f>INDEX(Wetter!B:M,MATCH(A70,Wetter!A:A,0),MATCH(B70,Wetter!B$1:M$1,0))</f>
        <v>7.63</v>
      </c>
      <c r="E70" s="26">
        <v>4988</v>
      </c>
      <c r="F70" s="27">
        <v>3745</v>
      </c>
      <c r="G70" s="35">
        <f>_xlfn.XLOOKUP(A70,Bevölkerung!A:A,Bevölkerung!B:B)</f>
        <v>7062354</v>
      </c>
      <c r="H70" s="28">
        <f t="shared" si="9"/>
        <v>1885.8088117489988</v>
      </c>
      <c r="I70" s="24">
        <f t="shared" si="6"/>
        <v>302.74858528698462</v>
      </c>
      <c r="J70" s="32">
        <f t="shared" si="10"/>
        <v>1.331909212283044</v>
      </c>
      <c r="K70" s="25">
        <f t="shared" si="11"/>
        <v>1243</v>
      </c>
    </row>
    <row r="71" spans="1:11" x14ac:dyDescent="0.3">
      <c r="A71" s="25">
        <f t="shared" si="7"/>
        <v>1995</v>
      </c>
      <c r="B71" s="25" t="s">
        <v>10</v>
      </c>
      <c r="C71" s="25" t="str">
        <f t="shared" si="8"/>
        <v>Herbst</v>
      </c>
      <c r="D71" s="25">
        <f>INDEX(Wetter!B:M,MATCH(A71,Wetter!A:A,0),MATCH(B71,Wetter!B$1:M$1,0))</f>
        <v>9.4</v>
      </c>
      <c r="E71" s="26">
        <v>4718</v>
      </c>
      <c r="F71" s="27">
        <v>3885</v>
      </c>
      <c r="G71" s="35">
        <f>_xlfn.XLOOKUP(A71,Bevölkerung!A:A,Bevölkerung!B:B)</f>
        <v>7062354</v>
      </c>
      <c r="H71" s="28">
        <f t="shared" si="9"/>
        <v>1817.8517374517376</v>
      </c>
      <c r="I71" s="24">
        <f t="shared" si="6"/>
        <v>366.50943396226415</v>
      </c>
      <c r="J71" s="32">
        <f t="shared" si="10"/>
        <v>1.2144144144144144</v>
      </c>
      <c r="K71" s="25">
        <f t="shared" si="11"/>
        <v>833</v>
      </c>
    </row>
    <row r="72" spans="1:11" x14ac:dyDescent="0.3">
      <c r="A72" s="25">
        <f t="shared" si="7"/>
        <v>1995</v>
      </c>
      <c r="B72" s="25" t="s">
        <v>11</v>
      </c>
      <c r="C72" s="25" t="str">
        <f t="shared" si="8"/>
        <v>Herbst</v>
      </c>
      <c r="D72" s="25">
        <f>INDEX(Wetter!B:M,MATCH(A72,Wetter!A:A,0),MATCH(B72,Wetter!B$1:M$1,0))</f>
        <v>0.68</v>
      </c>
      <c r="E72" s="26">
        <v>4732</v>
      </c>
      <c r="F72" s="27">
        <v>4352</v>
      </c>
      <c r="G72" s="35">
        <f>_xlfn.XLOOKUP(A72,Bevölkerung!A:A,Bevölkerung!B:B)</f>
        <v>7062354</v>
      </c>
      <c r="H72" s="28">
        <f t="shared" si="9"/>
        <v>1622.7835477941176</v>
      </c>
      <c r="I72" s="24">
        <f t="shared" si="6"/>
        <v>225.25879917184264</v>
      </c>
      <c r="J72" s="32">
        <f t="shared" si="10"/>
        <v>1.0873161764705883</v>
      </c>
      <c r="K72" s="25">
        <f t="shared" si="11"/>
        <v>380</v>
      </c>
    </row>
    <row r="73" spans="1:11" x14ac:dyDescent="0.3">
      <c r="A73" s="25">
        <f t="shared" si="7"/>
        <v>1995</v>
      </c>
      <c r="B73" s="25" t="s">
        <v>12</v>
      </c>
      <c r="C73" s="25" t="str">
        <f t="shared" si="8"/>
        <v>Winter</v>
      </c>
      <c r="D73" s="25">
        <f>INDEX(Wetter!B:M,MATCH(A73,Wetter!A:A,0),MATCH(B73,Wetter!B$1:M$1,0))</f>
        <v>-2.3199999999999998</v>
      </c>
      <c r="E73" s="26">
        <v>4823</v>
      </c>
      <c r="F73" s="27">
        <v>4572</v>
      </c>
      <c r="G73" s="35">
        <f>_xlfn.XLOOKUP(A73,Bevölkerung!A:A,Bevölkerung!B:B)</f>
        <v>7062354</v>
      </c>
      <c r="H73" s="28">
        <f t="shared" si="9"/>
        <v>1544.6968503937007</v>
      </c>
      <c r="I73" s="24">
        <f t="shared" si="6"/>
        <v>204.83870967741936</v>
      </c>
      <c r="J73" s="32">
        <f t="shared" si="10"/>
        <v>1.0548993875765529</v>
      </c>
      <c r="K73" s="25">
        <f t="shared" si="11"/>
        <v>251</v>
      </c>
    </row>
    <row r="74" spans="1:11" x14ac:dyDescent="0.3">
      <c r="A74" s="25">
        <f t="shared" si="7"/>
        <v>1996</v>
      </c>
      <c r="B74" s="25" t="s">
        <v>1</v>
      </c>
      <c r="C74" s="25" t="str">
        <f t="shared" si="8"/>
        <v>Winter</v>
      </c>
      <c r="D74" s="25">
        <f>INDEX(Wetter!B:M,MATCH(A74,Wetter!A:A,0),MATCH(B74,Wetter!B$1:M$1,0))</f>
        <v>-1.26</v>
      </c>
      <c r="E74" s="26">
        <v>4719</v>
      </c>
      <c r="F74" s="27">
        <v>4744</v>
      </c>
      <c r="G74" s="35">
        <f>_xlfn.XLOOKUP(A74,Bevölkerung!A:A,Bevölkerung!B:B)</f>
        <v>7081346</v>
      </c>
      <c r="H74" s="28">
        <f t="shared" si="9"/>
        <v>1492.6951939291737</v>
      </c>
      <c r="I74" s="24">
        <f t="shared" si="6"/>
        <v>223.14205079962369</v>
      </c>
      <c r="J74" s="32">
        <f t="shared" si="10"/>
        <v>0.9947301854974705</v>
      </c>
      <c r="K74" s="25">
        <f t="shared" si="11"/>
        <v>-25</v>
      </c>
    </row>
    <row r="75" spans="1:11" x14ac:dyDescent="0.3">
      <c r="A75" s="25">
        <f t="shared" si="7"/>
        <v>1996</v>
      </c>
      <c r="B75" s="25" t="s">
        <v>2</v>
      </c>
      <c r="C75" s="25" t="str">
        <f t="shared" si="8"/>
        <v>Winter</v>
      </c>
      <c r="D75" s="25">
        <f>INDEX(Wetter!B:M,MATCH(A75,Wetter!A:A,0),MATCH(B75,Wetter!B$1:M$1,0))</f>
        <v>-4.3099999999999996</v>
      </c>
      <c r="E75" s="26">
        <v>4787</v>
      </c>
      <c r="F75" s="27">
        <v>4579</v>
      </c>
      <c r="G75" s="35">
        <f>_xlfn.XLOOKUP(A75,Bevölkerung!A:A,Bevölkerung!B:B)</f>
        <v>7081346</v>
      </c>
      <c r="H75" s="28">
        <f t="shared" si="9"/>
        <v>1546.483074907185</v>
      </c>
      <c r="I75" s="24">
        <f t="shared" si="6"/>
        <v>188.35870012340601</v>
      </c>
      <c r="J75" s="32">
        <f t="shared" si="10"/>
        <v>1.0454247652325834</v>
      </c>
      <c r="K75" s="25">
        <f t="shared" si="11"/>
        <v>208</v>
      </c>
    </row>
    <row r="76" spans="1:11" x14ac:dyDescent="0.3">
      <c r="A76" s="25">
        <f t="shared" si="7"/>
        <v>1996</v>
      </c>
      <c r="B76" s="25" t="s">
        <v>3</v>
      </c>
      <c r="C76" s="25" t="str">
        <f t="shared" si="8"/>
        <v>Frühling</v>
      </c>
      <c r="D76" s="25">
        <f>INDEX(Wetter!B:M,MATCH(A76,Wetter!A:A,0),MATCH(B76,Wetter!B$1:M$1,0))</f>
        <v>-1.1100000000000001</v>
      </c>
      <c r="E76" s="26">
        <v>4181</v>
      </c>
      <c r="F76" s="27">
        <v>4428</v>
      </c>
      <c r="G76" s="35">
        <f>_xlfn.XLOOKUP(A76,Bevölkerung!A:A,Bevölkerung!B:B)</f>
        <v>7081346</v>
      </c>
      <c r="H76" s="28">
        <f t="shared" si="9"/>
        <v>1599.2199638663053</v>
      </c>
      <c r="I76" s="24">
        <f t="shared" si="6"/>
        <v>209.75840833728091</v>
      </c>
      <c r="J76" s="32">
        <f t="shared" si="10"/>
        <v>0.94421860885275521</v>
      </c>
      <c r="K76" s="25">
        <f t="shared" si="11"/>
        <v>-247</v>
      </c>
    </row>
    <row r="77" spans="1:11" x14ac:dyDescent="0.3">
      <c r="A77" s="25">
        <f t="shared" si="7"/>
        <v>1996</v>
      </c>
      <c r="B77" s="25" t="s">
        <v>4</v>
      </c>
      <c r="C77" s="25" t="str">
        <f t="shared" si="8"/>
        <v>Frühling</v>
      </c>
      <c r="D77" s="25">
        <f>INDEX(Wetter!B:M,MATCH(A77,Wetter!A:A,0),MATCH(B77,Wetter!B$1:M$1,0))</f>
        <v>4.62</v>
      </c>
      <c r="E77" s="26">
        <v>4029</v>
      </c>
      <c r="F77" s="27">
        <v>3791</v>
      </c>
      <c r="G77" s="35">
        <f>_xlfn.XLOOKUP(A77,Bevölkerung!A:A,Bevölkerung!B:B)</f>
        <v>7081346</v>
      </c>
      <c r="H77" s="28">
        <f t="shared" si="9"/>
        <v>1867.9361646003692</v>
      </c>
      <c r="I77" s="24">
        <f t="shared" si="6"/>
        <v>246.48894668400521</v>
      </c>
      <c r="J77" s="32">
        <f t="shared" si="10"/>
        <v>1.0627802690582959</v>
      </c>
      <c r="K77" s="25">
        <f t="shared" si="11"/>
        <v>238</v>
      </c>
    </row>
    <row r="78" spans="1:11" x14ac:dyDescent="0.3">
      <c r="A78" s="25">
        <f t="shared" si="7"/>
        <v>1996</v>
      </c>
      <c r="B78" s="25" t="s">
        <v>5</v>
      </c>
      <c r="C78" s="25" t="str">
        <f t="shared" si="8"/>
        <v>Frühling</v>
      </c>
      <c r="D78" s="25">
        <f>INDEX(Wetter!B:M,MATCH(A78,Wetter!A:A,0),MATCH(B78,Wetter!B$1:M$1,0))</f>
        <v>8</v>
      </c>
      <c r="E78" s="26">
        <v>5011</v>
      </c>
      <c r="F78" s="27">
        <v>3682</v>
      </c>
      <c r="G78" s="35">
        <f>_xlfn.XLOOKUP(A78,Bevölkerung!A:A,Bevölkerung!B:B)</f>
        <v>7081346</v>
      </c>
      <c r="H78" s="28">
        <f t="shared" si="9"/>
        <v>1923.2335687126561</v>
      </c>
      <c r="I78" s="24">
        <f t="shared" si="6"/>
        <v>306.83333333333331</v>
      </c>
      <c r="J78" s="32">
        <f t="shared" si="10"/>
        <v>1.3609451385116784</v>
      </c>
      <c r="K78" s="25">
        <f t="shared" si="11"/>
        <v>1329</v>
      </c>
    </row>
    <row r="79" spans="1:11" x14ac:dyDescent="0.3">
      <c r="A79" s="25">
        <f t="shared" si="7"/>
        <v>1996</v>
      </c>
      <c r="B79" s="25" t="s">
        <v>6</v>
      </c>
      <c r="C79" s="25" t="str">
        <f t="shared" si="8"/>
        <v>Sommer</v>
      </c>
      <c r="D79" s="25">
        <f>INDEX(Wetter!B:M,MATCH(A79,Wetter!A:A,0),MATCH(B79,Wetter!B$1:M$1,0))</f>
        <v>12.67</v>
      </c>
      <c r="E79" s="26">
        <v>4937</v>
      </c>
      <c r="F79" s="27">
        <v>3516</v>
      </c>
      <c r="G79" s="35">
        <f>_xlfn.XLOOKUP(A79,Bevölkerung!A:A,Bevölkerung!B:B)</f>
        <v>7081346</v>
      </c>
      <c r="H79" s="28">
        <f t="shared" si="9"/>
        <v>2014.0346985210467</v>
      </c>
      <c r="I79" s="24">
        <f t="shared" si="6"/>
        <v>479.67257844474761</v>
      </c>
      <c r="J79" s="32">
        <f t="shared" si="10"/>
        <v>1.4041524459613197</v>
      </c>
      <c r="K79" s="25">
        <f t="shared" si="11"/>
        <v>1421</v>
      </c>
    </row>
    <row r="80" spans="1:11" x14ac:dyDescent="0.3">
      <c r="A80" s="25">
        <f t="shared" si="7"/>
        <v>1996</v>
      </c>
      <c r="B80" s="25" t="s">
        <v>7</v>
      </c>
      <c r="C80" s="25" t="str">
        <f t="shared" si="8"/>
        <v>Sommer</v>
      </c>
      <c r="D80" s="25">
        <f>INDEX(Wetter!B:M,MATCH(A80,Wetter!A:A,0),MATCH(B80,Wetter!B$1:M$1,0))</f>
        <v>12.83</v>
      </c>
      <c r="E80" s="26">
        <v>4927</v>
      </c>
      <c r="F80" s="27">
        <v>3452</v>
      </c>
      <c r="G80" s="35">
        <f>_xlfn.XLOOKUP(A80,Bevölkerung!A:A,Bevölkerung!B:B)</f>
        <v>7081346</v>
      </c>
      <c r="H80" s="28">
        <f t="shared" si="9"/>
        <v>2051.3748551564308</v>
      </c>
      <c r="I80" s="24">
        <f t="shared" si="6"/>
        <v>481.45048814504884</v>
      </c>
      <c r="J80" s="32">
        <f t="shared" si="10"/>
        <v>1.4272885283893395</v>
      </c>
      <c r="K80" s="25">
        <f t="shared" si="11"/>
        <v>1475</v>
      </c>
    </row>
    <row r="81" spans="1:11" x14ac:dyDescent="0.3">
      <c r="A81" s="25">
        <f t="shared" si="7"/>
        <v>1996</v>
      </c>
      <c r="B81" s="25" t="s">
        <v>8</v>
      </c>
      <c r="C81" s="25" t="str">
        <f t="shared" si="8"/>
        <v>Sommer</v>
      </c>
      <c r="D81" s="25">
        <f>INDEX(Wetter!B:M,MATCH(A81,Wetter!A:A,0),MATCH(B81,Wetter!B$1:M$1,0))</f>
        <v>12.41</v>
      </c>
      <c r="E81" s="26">
        <v>4143</v>
      </c>
      <c r="F81" s="27">
        <v>3457</v>
      </c>
      <c r="G81" s="35">
        <f>_xlfn.XLOOKUP(A81,Bevölkerung!A:A,Bevölkerung!B:B)</f>
        <v>7081346</v>
      </c>
      <c r="H81" s="28">
        <f t="shared" si="9"/>
        <v>2048.4078680937228</v>
      </c>
      <c r="I81" s="24">
        <f t="shared" si="6"/>
        <v>455.467720685112</v>
      </c>
      <c r="J81" s="32">
        <f t="shared" si="10"/>
        <v>1.1984379519814869</v>
      </c>
      <c r="K81" s="25">
        <f t="shared" si="11"/>
        <v>686</v>
      </c>
    </row>
    <row r="82" spans="1:11" x14ac:dyDescent="0.3">
      <c r="A82" s="25">
        <f t="shared" si="7"/>
        <v>1996</v>
      </c>
      <c r="B82" s="25" t="s">
        <v>9</v>
      </c>
      <c r="C82" s="25" t="str">
        <f t="shared" si="8"/>
        <v>Herbst</v>
      </c>
      <c r="D82" s="25">
        <f>INDEX(Wetter!B:M,MATCH(A82,Wetter!A:A,0),MATCH(B82,Wetter!B$1:M$1,0))</f>
        <v>7.08</v>
      </c>
      <c r="E82" s="26">
        <v>4189</v>
      </c>
      <c r="F82" s="27">
        <v>3856</v>
      </c>
      <c r="G82" s="35">
        <f>_xlfn.XLOOKUP(A82,Bevölkerung!A:A,Bevölkerung!B:B)</f>
        <v>7081346</v>
      </c>
      <c r="H82" s="28">
        <f t="shared" si="9"/>
        <v>1836.4486514522821</v>
      </c>
      <c r="I82" s="24">
        <f t="shared" si="6"/>
        <v>298.45201238390092</v>
      </c>
      <c r="J82" s="32">
        <f t="shared" si="10"/>
        <v>1.0863589211618256</v>
      </c>
      <c r="K82" s="25">
        <f t="shared" si="11"/>
        <v>333</v>
      </c>
    </row>
    <row r="83" spans="1:11" x14ac:dyDescent="0.3">
      <c r="A83" s="25">
        <f t="shared" si="7"/>
        <v>1996</v>
      </c>
      <c r="B83" s="25" t="s">
        <v>10</v>
      </c>
      <c r="C83" s="25" t="str">
        <f t="shared" si="8"/>
        <v>Herbst</v>
      </c>
      <c r="D83" s="25">
        <f>INDEX(Wetter!B:M,MATCH(A83,Wetter!A:A,0),MATCH(B83,Wetter!B$1:M$1,0))</f>
        <v>5.83</v>
      </c>
      <c r="E83" s="26">
        <v>4315</v>
      </c>
      <c r="F83" s="27">
        <v>4085</v>
      </c>
      <c r="G83" s="35">
        <f>_xlfn.XLOOKUP(A83,Bevölkerung!A:A,Bevölkerung!B:B)</f>
        <v>7081346</v>
      </c>
      <c r="H83" s="28">
        <f t="shared" si="9"/>
        <v>1733.4996328029376</v>
      </c>
      <c r="I83" s="24">
        <f t="shared" si="6"/>
        <v>288.28510938602682</v>
      </c>
      <c r="J83" s="32">
        <f t="shared" si="10"/>
        <v>1.0563035495716033</v>
      </c>
      <c r="K83" s="25">
        <f t="shared" si="11"/>
        <v>230</v>
      </c>
    </row>
    <row r="84" spans="1:11" x14ac:dyDescent="0.3">
      <c r="A84" s="25">
        <f t="shared" si="7"/>
        <v>1996</v>
      </c>
      <c r="B84" s="25" t="s">
        <v>11</v>
      </c>
      <c r="C84" s="25" t="str">
        <f t="shared" si="8"/>
        <v>Herbst</v>
      </c>
      <c r="D84" s="25">
        <f>INDEX(Wetter!B:M,MATCH(A84,Wetter!A:A,0),MATCH(B84,Wetter!B$1:M$1,0))</f>
        <v>0.96</v>
      </c>
      <c r="E84" s="26">
        <v>4998</v>
      </c>
      <c r="F84" s="27">
        <v>4513</v>
      </c>
      <c r="G84" s="35">
        <f>_xlfn.XLOOKUP(A84,Bevölkerung!A:A,Bevölkerung!B:B)</f>
        <v>7081346</v>
      </c>
      <c r="H84" s="28">
        <f t="shared" si="9"/>
        <v>1569.0994903611788</v>
      </c>
      <c r="I84" s="24">
        <f t="shared" si="6"/>
        <v>237.02731092436977</v>
      </c>
      <c r="J84" s="32">
        <f t="shared" si="10"/>
        <v>1.1074673166408153</v>
      </c>
      <c r="K84" s="25">
        <f t="shared" si="11"/>
        <v>485</v>
      </c>
    </row>
    <row r="85" spans="1:11" x14ac:dyDescent="0.3">
      <c r="A85" s="25">
        <f t="shared" si="7"/>
        <v>1996</v>
      </c>
      <c r="B85" s="25" t="s">
        <v>12</v>
      </c>
      <c r="C85" s="25" t="str">
        <f t="shared" si="8"/>
        <v>Winter</v>
      </c>
      <c r="D85" s="25">
        <f>INDEX(Wetter!B:M,MATCH(A85,Wetter!A:A,0),MATCH(B85,Wetter!B$1:M$1,0))</f>
        <v>-2.2200000000000002</v>
      </c>
      <c r="E85" s="26">
        <v>4884</v>
      </c>
      <c r="F85" s="27">
        <v>4589</v>
      </c>
      <c r="G85" s="35">
        <f>_xlfn.XLOOKUP(A85,Bevölkerung!A:A,Bevölkerung!B:B)</f>
        <v>7081346</v>
      </c>
      <c r="H85" s="28">
        <f t="shared" si="9"/>
        <v>1543.1130965351929</v>
      </c>
      <c r="I85" s="24">
        <f t="shared" si="6"/>
        <v>206.52565256525654</v>
      </c>
      <c r="J85" s="32">
        <f t="shared" si="10"/>
        <v>1.0642841577685771</v>
      </c>
      <c r="K85" s="25">
        <f t="shared" si="11"/>
        <v>295</v>
      </c>
    </row>
    <row r="86" spans="1:11" x14ac:dyDescent="0.3">
      <c r="A86" s="25">
        <f t="shared" si="7"/>
        <v>1997</v>
      </c>
      <c r="B86" s="25" t="s">
        <v>1</v>
      </c>
      <c r="C86" s="25" t="str">
        <f t="shared" si="8"/>
        <v>Winter</v>
      </c>
      <c r="D86" s="25">
        <f>INDEX(Wetter!B:M,MATCH(A86,Wetter!A:A,0),MATCH(B86,Wetter!B$1:M$1,0))</f>
        <v>-2.2599999999999998</v>
      </c>
      <c r="E86" s="26">
        <v>5304</v>
      </c>
      <c r="F86" s="27">
        <v>4888</v>
      </c>
      <c r="G86" s="35">
        <f>_xlfn.XLOOKUP(A86,Bevölkerung!A:A,Bevölkerung!B:B)</f>
        <v>7096465</v>
      </c>
      <c r="H86" s="28">
        <f t="shared" si="9"/>
        <v>1451.8136252045826</v>
      </c>
      <c r="I86" s="24">
        <f t="shared" si="6"/>
        <v>219.58670260557054</v>
      </c>
      <c r="J86" s="32">
        <f t="shared" si="10"/>
        <v>1.0851063829787233</v>
      </c>
      <c r="K86" s="25">
        <f t="shared" si="11"/>
        <v>416</v>
      </c>
    </row>
    <row r="87" spans="1:11" x14ac:dyDescent="0.3">
      <c r="A87" s="25">
        <f t="shared" si="7"/>
        <v>1997</v>
      </c>
      <c r="B87" s="25" t="s">
        <v>2</v>
      </c>
      <c r="C87" s="25" t="str">
        <f t="shared" si="8"/>
        <v>Winter</v>
      </c>
      <c r="D87" s="25">
        <f>INDEX(Wetter!B:M,MATCH(A87,Wetter!A:A,0),MATCH(B87,Wetter!B$1:M$1,0))</f>
        <v>0.4</v>
      </c>
      <c r="E87" s="26">
        <v>4372</v>
      </c>
      <c r="F87" s="27">
        <v>4207</v>
      </c>
      <c r="G87" s="35">
        <f>_xlfn.XLOOKUP(A87,Bevölkerung!A:A,Bevölkerung!B:B)</f>
        <v>7096465</v>
      </c>
      <c r="H87" s="28">
        <f t="shared" si="9"/>
        <v>1686.8231518897076</v>
      </c>
      <c r="I87" s="24">
        <f t="shared" si="6"/>
        <v>214.64285714285714</v>
      </c>
      <c r="J87" s="32">
        <f t="shared" si="10"/>
        <v>1.0392203470406465</v>
      </c>
      <c r="K87" s="25">
        <f t="shared" si="11"/>
        <v>165</v>
      </c>
    </row>
    <row r="88" spans="1:11" x14ac:dyDescent="0.3">
      <c r="A88" s="25">
        <f t="shared" si="7"/>
        <v>1997</v>
      </c>
      <c r="B88" s="25" t="s">
        <v>3</v>
      </c>
      <c r="C88" s="25" t="str">
        <f t="shared" si="8"/>
        <v>Frühling</v>
      </c>
      <c r="D88" s="25">
        <f>INDEX(Wetter!B:M,MATCH(A88,Wetter!A:A,0),MATCH(B88,Wetter!B$1:M$1,0))</f>
        <v>3.08</v>
      </c>
      <c r="E88" s="26">
        <v>4705</v>
      </c>
      <c r="F88" s="27">
        <v>4202</v>
      </c>
      <c r="G88" s="35">
        <f>_xlfn.XLOOKUP(A88,Bevölkerung!A:A,Bevölkerung!B:B)</f>
        <v>7096465</v>
      </c>
      <c r="H88" s="28">
        <f t="shared" si="9"/>
        <v>1688.8303188957639</v>
      </c>
      <c r="I88" s="24">
        <f t="shared" si="6"/>
        <v>248.34515366430259</v>
      </c>
      <c r="J88" s="32">
        <f t="shared" si="10"/>
        <v>1.1197049024274155</v>
      </c>
      <c r="K88" s="25">
        <f t="shared" si="11"/>
        <v>503</v>
      </c>
    </row>
    <row r="89" spans="1:11" x14ac:dyDescent="0.3">
      <c r="A89" s="25">
        <f t="shared" si="7"/>
        <v>1997</v>
      </c>
      <c r="B89" s="25" t="s">
        <v>4</v>
      </c>
      <c r="C89" s="25" t="str">
        <f t="shared" si="8"/>
        <v>Frühling</v>
      </c>
      <c r="D89" s="25">
        <f>INDEX(Wetter!B:M,MATCH(A89,Wetter!A:A,0),MATCH(B89,Wetter!B$1:M$1,0))</f>
        <v>3.09</v>
      </c>
      <c r="E89" s="26">
        <v>4585</v>
      </c>
      <c r="F89" s="27">
        <v>3908</v>
      </c>
      <c r="G89" s="35">
        <f>_xlfn.XLOOKUP(A89,Bevölkerung!A:A,Bevölkerung!B:B)</f>
        <v>7096465</v>
      </c>
      <c r="H89" s="28">
        <f t="shared" si="9"/>
        <v>1815.8815250767657</v>
      </c>
      <c r="I89" s="24">
        <f t="shared" si="6"/>
        <v>231.10585452395031</v>
      </c>
      <c r="J89" s="32">
        <f t="shared" si="10"/>
        <v>1.1732343909928351</v>
      </c>
      <c r="K89" s="25">
        <f t="shared" si="11"/>
        <v>677</v>
      </c>
    </row>
    <row r="90" spans="1:11" x14ac:dyDescent="0.3">
      <c r="A90" s="25">
        <f t="shared" si="7"/>
        <v>1997</v>
      </c>
      <c r="B90" s="25" t="s">
        <v>5</v>
      </c>
      <c r="C90" s="25" t="str">
        <f t="shared" si="8"/>
        <v>Frühling</v>
      </c>
      <c r="D90" s="25">
        <f>INDEX(Wetter!B:M,MATCH(A90,Wetter!A:A,0),MATCH(B90,Wetter!B$1:M$1,0))</f>
        <v>8.8000000000000007</v>
      </c>
      <c r="E90" s="26">
        <v>5180</v>
      </c>
      <c r="F90" s="27">
        <v>3700</v>
      </c>
      <c r="G90" s="35">
        <f>_xlfn.XLOOKUP(A90,Bevölkerung!A:A,Bevölkerung!B:B)</f>
        <v>7096465</v>
      </c>
      <c r="H90" s="28">
        <f t="shared" si="9"/>
        <v>1917.9635135135136</v>
      </c>
      <c r="I90" s="24">
        <f t="shared" si="6"/>
        <v>330.35714285714289</v>
      </c>
      <c r="J90" s="32">
        <f t="shared" si="10"/>
        <v>1.4</v>
      </c>
      <c r="K90" s="25">
        <f t="shared" si="11"/>
        <v>1480</v>
      </c>
    </row>
    <row r="91" spans="1:11" x14ac:dyDescent="0.3">
      <c r="A91" s="25">
        <f t="shared" si="7"/>
        <v>1997</v>
      </c>
      <c r="B91" s="25" t="s">
        <v>6</v>
      </c>
      <c r="C91" s="25" t="str">
        <f t="shared" si="8"/>
        <v>Sommer</v>
      </c>
      <c r="D91" s="25">
        <f>INDEX(Wetter!B:M,MATCH(A91,Wetter!A:A,0),MATCH(B91,Wetter!B$1:M$1,0))</f>
        <v>11.14</v>
      </c>
      <c r="E91" s="26">
        <v>5406</v>
      </c>
      <c r="F91" s="27">
        <v>3593</v>
      </c>
      <c r="G91" s="35">
        <f>_xlfn.XLOOKUP(A91,Bevölkerung!A:A,Bevölkerung!B:B)</f>
        <v>7096465</v>
      </c>
      <c r="H91" s="28">
        <f t="shared" si="9"/>
        <v>1975.0807124965211</v>
      </c>
      <c r="I91" s="24">
        <f t="shared" si="6"/>
        <v>405.5304740406321</v>
      </c>
      <c r="J91" s="32">
        <f t="shared" si="10"/>
        <v>1.5045922627330921</v>
      </c>
      <c r="K91" s="25">
        <f t="shared" si="11"/>
        <v>1813</v>
      </c>
    </row>
    <row r="92" spans="1:11" x14ac:dyDescent="0.3">
      <c r="A92" s="25">
        <f t="shared" si="7"/>
        <v>1997</v>
      </c>
      <c r="B92" s="25" t="s">
        <v>7</v>
      </c>
      <c r="C92" s="25" t="str">
        <f t="shared" si="8"/>
        <v>Sommer</v>
      </c>
      <c r="D92" s="25">
        <f>INDEX(Wetter!B:M,MATCH(A92,Wetter!A:A,0),MATCH(B92,Wetter!B$1:M$1,0))</f>
        <v>12.23</v>
      </c>
      <c r="E92" s="26">
        <v>5989</v>
      </c>
      <c r="F92" s="27">
        <v>3521</v>
      </c>
      <c r="G92" s="35">
        <f>_xlfn.XLOOKUP(A92,Bevölkerung!A:A,Bevölkerung!B:B)</f>
        <v>7096465</v>
      </c>
      <c r="H92" s="28">
        <f t="shared" si="9"/>
        <v>2015.4686168702074</v>
      </c>
      <c r="I92" s="24">
        <f t="shared" si="6"/>
        <v>453.1531531531532</v>
      </c>
      <c r="J92" s="32">
        <f t="shared" si="10"/>
        <v>1.7009372337404147</v>
      </c>
      <c r="K92" s="25">
        <f t="shared" si="11"/>
        <v>2468</v>
      </c>
    </row>
    <row r="93" spans="1:11" x14ac:dyDescent="0.3">
      <c r="A93" s="25">
        <f t="shared" si="7"/>
        <v>1997</v>
      </c>
      <c r="B93" s="25" t="s">
        <v>8</v>
      </c>
      <c r="C93" s="25" t="str">
        <f t="shared" si="8"/>
        <v>Sommer</v>
      </c>
      <c r="D93" s="25">
        <f>INDEX(Wetter!B:M,MATCH(A93,Wetter!A:A,0),MATCH(B93,Wetter!B$1:M$1,0))</f>
        <v>14.98</v>
      </c>
      <c r="E93" s="26">
        <v>5094</v>
      </c>
      <c r="F93" s="27">
        <v>3535</v>
      </c>
      <c r="G93" s="35">
        <f>_xlfn.XLOOKUP(A93,Bevölkerung!A:A,Bevölkerung!B:B)</f>
        <v>7096465</v>
      </c>
      <c r="H93" s="28">
        <f t="shared" si="9"/>
        <v>2007.4865629420085</v>
      </c>
      <c r="I93" s="24">
        <f t="shared" si="6"/>
        <v>704.18326693227095</v>
      </c>
      <c r="J93" s="32">
        <f t="shared" si="10"/>
        <v>1.4410183875530411</v>
      </c>
      <c r="K93" s="25">
        <f t="shared" si="11"/>
        <v>1559</v>
      </c>
    </row>
    <row r="94" spans="1:11" x14ac:dyDescent="0.3">
      <c r="A94" s="25">
        <f t="shared" si="7"/>
        <v>1997</v>
      </c>
      <c r="B94" s="25" t="s">
        <v>9</v>
      </c>
      <c r="C94" s="25" t="str">
        <f t="shared" si="8"/>
        <v>Herbst</v>
      </c>
      <c r="D94" s="25">
        <f>INDEX(Wetter!B:M,MATCH(A94,Wetter!A:A,0),MATCH(B94,Wetter!B$1:M$1,0))</f>
        <v>11.99</v>
      </c>
      <c r="E94" s="26">
        <v>5468</v>
      </c>
      <c r="F94" s="27">
        <v>3755</v>
      </c>
      <c r="G94" s="35">
        <f>_xlfn.XLOOKUP(A94,Bevölkerung!A:A,Bevölkerung!B:B)</f>
        <v>7096465</v>
      </c>
      <c r="H94" s="28">
        <f t="shared" si="9"/>
        <v>1889.8708388814914</v>
      </c>
      <c r="I94" s="24">
        <f t="shared" si="6"/>
        <v>468.78901373283395</v>
      </c>
      <c r="J94" s="32">
        <f t="shared" si="10"/>
        <v>1.4561917443408787</v>
      </c>
      <c r="K94" s="25">
        <f t="shared" si="11"/>
        <v>1713</v>
      </c>
    </row>
    <row r="95" spans="1:11" x14ac:dyDescent="0.3">
      <c r="A95" s="25">
        <f t="shared" si="7"/>
        <v>1997</v>
      </c>
      <c r="B95" s="25" t="s">
        <v>10</v>
      </c>
      <c r="C95" s="25" t="str">
        <f t="shared" si="8"/>
        <v>Herbst</v>
      </c>
      <c r="D95" s="25">
        <f>INDEX(Wetter!B:M,MATCH(A95,Wetter!A:A,0),MATCH(B95,Wetter!B$1:M$1,0))</f>
        <v>6.05</v>
      </c>
      <c r="E95" s="26">
        <v>4966</v>
      </c>
      <c r="F95" s="27">
        <v>4185</v>
      </c>
      <c r="G95" s="35">
        <f>_xlfn.XLOOKUP(A95,Bevölkerung!A:A,Bevölkerung!B:B)</f>
        <v>7096465</v>
      </c>
      <c r="H95" s="28">
        <f t="shared" si="9"/>
        <v>1695.6905615292712</v>
      </c>
      <c r="I95" s="24">
        <f t="shared" si="6"/>
        <v>300</v>
      </c>
      <c r="J95" s="32">
        <f t="shared" si="10"/>
        <v>1.1866188769414576</v>
      </c>
      <c r="K95" s="25">
        <f t="shared" si="11"/>
        <v>781</v>
      </c>
    </row>
    <row r="96" spans="1:11" x14ac:dyDescent="0.3">
      <c r="A96" s="25">
        <f t="shared" si="7"/>
        <v>1997</v>
      </c>
      <c r="B96" s="25" t="s">
        <v>11</v>
      </c>
      <c r="C96" s="25" t="str">
        <f t="shared" si="8"/>
        <v>Herbst</v>
      </c>
      <c r="D96" s="25">
        <f>INDEX(Wetter!B:M,MATCH(A96,Wetter!A:A,0),MATCH(B96,Wetter!B$1:M$1,0))</f>
        <v>1.76</v>
      </c>
      <c r="E96" s="26">
        <v>4724</v>
      </c>
      <c r="F96" s="27">
        <v>4458</v>
      </c>
      <c r="G96" s="35">
        <f>_xlfn.XLOOKUP(A96,Bevölkerung!A:A,Bevölkerung!B:B)</f>
        <v>7096465</v>
      </c>
      <c r="H96" s="28">
        <f t="shared" si="9"/>
        <v>1591.8494840735757</v>
      </c>
      <c r="I96" s="24">
        <f t="shared" si="6"/>
        <v>244.40789473684214</v>
      </c>
      <c r="J96" s="32">
        <f t="shared" si="10"/>
        <v>1.0596680125616869</v>
      </c>
      <c r="K96" s="25">
        <f t="shared" si="11"/>
        <v>266</v>
      </c>
    </row>
    <row r="97" spans="1:11" x14ac:dyDescent="0.3">
      <c r="A97" s="25">
        <f t="shared" si="7"/>
        <v>1997</v>
      </c>
      <c r="B97" s="25" t="s">
        <v>12</v>
      </c>
      <c r="C97" s="25" t="str">
        <f t="shared" si="8"/>
        <v>Winter</v>
      </c>
      <c r="D97" s="25">
        <f>INDEX(Wetter!B:M,MATCH(A97,Wetter!A:A,0),MATCH(B97,Wetter!B$1:M$1,0))</f>
        <v>-1.05</v>
      </c>
      <c r="E97" s="26">
        <v>4807</v>
      </c>
      <c r="F97" s="27">
        <v>4660</v>
      </c>
      <c r="G97" s="35">
        <f>_xlfn.XLOOKUP(A97,Bevölkerung!A:A,Bevölkerung!B:B)</f>
        <v>7096465</v>
      </c>
      <c r="H97" s="28">
        <f t="shared" si="9"/>
        <v>1522.8465665236051</v>
      </c>
      <c r="I97" s="24">
        <f t="shared" si="6"/>
        <v>221.37767220902612</v>
      </c>
      <c r="J97" s="32">
        <f t="shared" si="10"/>
        <v>1.0315450643776825</v>
      </c>
      <c r="K97" s="25">
        <f t="shared" si="11"/>
        <v>147</v>
      </c>
    </row>
    <row r="98" spans="1:11" x14ac:dyDescent="0.3">
      <c r="A98" s="25">
        <f t="shared" si="7"/>
        <v>1998</v>
      </c>
      <c r="B98" s="25" t="s">
        <v>1</v>
      </c>
      <c r="C98" s="25" t="str">
        <f t="shared" si="8"/>
        <v>Winter</v>
      </c>
      <c r="D98" s="25">
        <f>INDEX(Wetter!B:M,MATCH(A98,Wetter!A:A,0),MATCH(B98,Wetter!B$1:M$1,0))</f>
        <v>-1.65</v>
      </c>
      <c r="E98" s="26">
        <v>4876</v>
      </c>
      <c r="F98" s="27">
        <v>4775</v>
      </c>
      <c r="G98" s="35">
        <f>_xlfn.XLOOKUP(A98,Bevölkerung!A:A,Bevölkerung!B:B)</f>
        <v>7123537</v>
      </c>
      <c r="H98" s="28">
        <f t="shared" si="9"/>
        <v>1491.8402094240837</v>
      </c>
      <c r="I98" s="24">
        <f t="shared" si="6"/>
        <v>220.55427251732104</v>
      </c>
      <c r="J98" s="32">
        <f t="shared" si="10"/>
        <v>1.0211518324607329</v>
      </c>
      <c r="K98" s="25">
        <f t="shared" si="11"/>
        <v>101</v>
      </c>
    </row>
    <row r="99" spans="1:11" x14ac:dyDescent="0.3">
      <c r="A99" s="25">
        <f t="shared" si="7"/>
        <v>1998</v>
      </c>
      <c r="B99" s="25" t="s">
        <v>2</v>
      </c>
      <c r="C99" s="25" t="str">
        <f t="shared" si="8"/>
        <v>Winter</v>
      </c>
      <c r="D99" s="25">
        <f>INDEX(Wetter!B:M,MATCH(A99,Wetter!A:A,0),MATCH(B99,Wetter!B$1:M$1,0))</f>
        <v>1.01</v>
      </c>
      <c r="E99" s="26">
        <v>4557</v>
      </c>
      <c r="F99" s="27">
        <v>4280</v>
      </c>
      <c r="G99" s="35">
        <f>_xlfn.XLOOKUP(A99,Bevölkerung!A:A,Bevölkerung!B:B)</f>
        <v>7123537</v>
      </c>
      <c r="H99" s="28">
        <f t="shared" si="9"/>
        <v>1664.3778037383177</v>
      </c>
      <c r="I99" s="24">
        <f t="shared" si="6"/>
        <v>225.38177988414958</v>
      </c>
      <c r="J99" s="32">
        <f t="shared" si="10"/>
        <v>1.0647196261682244</v>
      </c>
      <c r="K99" s="25">
        <f t="shared" si="11"/>
        <v>277</v>
      </c>
    </row>
    <row r="100" spans="1:11" x14ac:dyDescent="0.3">
      <c r="A100" s="25">
        <f t="shared" si="7"/>
        <v>1998</v>
      </c>
      <c r="B100" s="25" t="s">
        <v>3</v>
      </c>
      <c r="C100" s="25" t="str">
        <f t="shared" si="8"/>
        <v>Frühling</v>
      </c>
      <c r="D100" s="25">
        <f>INDEX(Wetter!B:M,MATCH(A100,Wetter!A:A,0),MATCH(B100,Wetter!B$1:M$1,0))</f>
        <v>0.95</v>
      </c>
      <c r="E100" s="26">
        <v>4879</v>
      </c>
      <c r="F100" s="27">
        <v>4489</v>
      </c>
      <c r="G100" s="35">
        <f>_xlfn.XLOOKUP(A100,Bevölkerung!A:A,Bevölkerung!B:B)</f>
        <v>7123537</v>
      </c>
      <c r="H100" s="28">
        <f t="shared" si="9"/>
        <v>1586.8872800178212</v>
      </c>
      <c r="I100" s="24">
        <f t="shared" si="6"/>
        <v>235.64304461942257</v>
      </c>
      <c r="J100" s="32">
        <f t="shared" si="10"/>
        <v>1.086879037647583</v>
      </c>
      <c r="K100" s="25">
        <f t="shared" si="11"/>
        <v>390</v>
      </c>
    </row>
    <row r="101" spans="1:11" x14ac:dyDescent="0.3">
      <c r="A101" s="25">
        <f t="shared" si="7"/>
        <v>1998</v>
      </c>
      <c r="B101" s="25" t="s">
        <v>4</v>
      </c>
      <c r="C101" s="25" t="str">
        <f t="shared" si="8"/>
        <v>Frühling</v>
      </c>
      <c r="D101" s="25">
        <f>INDEX(Wetter!B:M,MATCH(A101,Wetter!A:A,0),MATCH(B101,Wetter!B$1:M$1,0))</f>
        <v>3.38</v>
      </c>
      <c r="E101" s="26">
        <v>4557</v>
      </c>
      <c r="F101" s="27">
        <v>3963</v>
      </c>
      <c r="G101" s="35">
        <f>_xlfn.XLOOKUP(A101,Bevölkerung!A:A,Bevölkerung!B:B)</f>
        <v>7123537</v>
      </c>
      <c r="H101" s="28">
        <f t="shared" si="9"/>
        <v>1797.51122886702</v>
      </c>
      <c r="I101" s="24">
        <f t="shared" si="6"/>
        <v>238.44765342960287</v>
      </c>
      <c r="J101" s="32">
        <f t="shared" si="10"/>
        <v>1.1498864496593491</v>
      </c>
      <c r="K101" s="25">
        <f t="shared" si="11"/>
        <v>594</v>
      </c>
    </row>
    <row r="102" spans="1:11" x14ac:dyDescent="0.3">
      <c r="A102" s="25">
        <f t="shared" si="7"/>
        <v>1998</v>
      </c>
      <c r="B102" s="25" t="s">
        <v>5</v>
      </c>
      <c r="C102" s="25" t="str">
        <f t="shared" si="8"/>
        <v>Frühling</v>
      </c>
      <c r="D102" s="25">
        <f>INDEX(Wetter!B:M,MATCH(A102,Wetter!A:A,0),MATCH(B102,Wetter!B$1:M$1,0))</f>
        <v>9.5</v>
      </c>
      <c r="E102" s="26">
        <v>5168</v>
      </c>
      <c r="F102" s="27">
        <v>3752</v>
      </c>
      <c r="G102" s="35">
        <f>_xlfn.XLOOKUP(A102,Bevölkerung!A:A,Bevölkerung!B:B)</f>
        <v>7123537</v>
      </c>
      <c r="H102" s="28">
        <f t="shared" si="9"/>
        <v>1898.5972814498934</v>
      </c>
      <c r="I102" s="24">
        <f t="shared" si="6"/>
        <v>357.33333333333331</v>
      </c>
      <c r="J102" s="32">
        <f t="shared" si="10"/>
        <v>1.3773987206823028</v>
      </c>
      <c r="K102" s="25">
        <f t="shared" si="11"/>
        <v>1416</v>
      </c>
    </row>
    <row r="103" spans="1:11" x14ac:dyDescent="0.3">
      <c r="A103" s="25">
        <f t="shared" si="7"/>
        <v>1998</v>
      </c>
      <c r="B103" s="25" t="s">
        <v>6</v>
      </c>
      <c r="C103" s="25" t="str">
        <f t="shared" si="8"/>
        <v>Sommer</v>
      </c>
      <c r="D103" s="25">
        <f>INDEX(Wetter!B:M,MATCH(A103,Wetter!A:A,0),MATCH(B103,Wetter!B$1:M$1,0))</f>
        <v>12.56</v>
      </c>
      <c r="E103" s="26">
        <v>5595</v>
      </c>
      <c r="F103" s="27">
        <v>3715</v>
      </c>
      <c r="G103" s="35">
        <f>_xlfn.XLOOKUP(A103,Bevölkerung!A:A,Bevölkerung!B:B)</f>
        <v>7123537</v>
      </c>
      <c r="H103" s="28">
        <f t="shared" si="9"/>
        <v>1917.5065948855988</v>
      </c>
      <c r="I103" s="24">
        <f t="shared" si="6"/>
        <v>499.32795698924735</v>
      </c>
      <c r="J103" s="32">
        <f t="shared" si="10"/>
        <v>1.506056527590848</v>
      </c>
      <c r="K103" s="25">
        <f t="shared" si="11"/>
        <v>1880</v>
      </c>
    </row>
    <row r="104" spans="1:11" x14ac:dyDescent="0.3">
      <c r="A104" s="25">
        <f t="shared" si="7"/>
        <v>1998</v>
      </c>
      <c r="B104" s="25" t="s">
        <v>7</v>
      </c>
      <c r="C104" s="25" t="str">
        <f t="shared" si="8"/>
        <v>Sommer</v>
      </c>
      <c r="D104" s="25">
        <f>INDEX(Wetter!B:M,MATCH(A104,Wetter!A:A,0),MATCH(B104,Wetter!B$1:M$1,0))</f>
        <v>14.22</v>
      </c>
      <c r="E104" s="26">
        <v>5574</v>
      </c>
      <c r="F104" s="27">
        <v>3577</v>
      </c>
      <c r="G104" s="35">
        <f>_xlfn.XLOOKUP(A104,Bevölkerung!A:A,Bevölkerung!B:B)</f>
        <v>7123537</v>
      </c>
      <c r="H104" s="28">
        <f t="shared" si="9"/>
        <v>1991.4836455129998</v>
      </c>
      <c r="I104" s="24">
        <f t="shared" si="6"/>
        <v>618.8581314878893</v>
      </c>
      <c r="J104" s="32">
        <f t="shared" si="10"/>
        <v>1.5582890690522784</v>
      </c>
      <c r="K104" s="25">
        <f t="shared" si="11"/>
        <v>1997</v>
      </c>
    </row>
    <row r="105" spans="1:11" x14ac:dyDescent="0.3">
      <c r="A105" s="25">
        <f t="shared" si="7"/>
        <v>1998</v>
      </c>
      <c r="B105" s="25" t="s">
        <v>8</v>
      </c>
      <c r="C105" s="25" t="str">
        <f t="shared" si="8"/>
        <v>Sommer</v>
      </c>
      <c r="D105" s="25">
        <f>INDEX(Wetter!B:M,MATCH(A105,Wetter!A:A,0),MATCH(B105,Wetter!B$1:M$1,0))</f>
        <v>14.38</v>
      </c>
      <c r="E105" s="26">
        <v>4823</v>
      </c>
      <c r="F105" s="27">
        <v>3606</v>
      </c>
      <c r="G105" s="35">
        <f>_xlfn.XLOOKUP(A105,Bevölkerung!A:A,Bevölkerung!B:B)</f>
        <v>7123537</v>
      </c>
      <c r="H105" s="28">
        <f t="shared" si="9"/>
        <v>1975.4678313921243</v>
      </c>
      <c r="I105" s="24">
        <f t="shared" si="6"/>
        <v>641.63701067615671</v>
      </c>
      <c r="J105" s="32">
        <f t="shared" si="10"/>
        <v>1.3374930671103715</v>
      </c>
      <c r="K105" s="25">
        <f t="shared" si="11"/>
        <v>1217</v>
      </c>
    </row>
    <row r="106" spans="1:11" x14ac:dyDescent="0.3">
      <c r="A106" s="25">
        <f t="shared" si="7"/>
        <v>1998</v>
      </c>
      <c r="B106" s="25" t="s">
        <v>9</v>
      </c>
      <c r="C106" s="25" t="str">
        <f t="shared" si="8"/>
        <v>Herbst</v>
      </c>
      <c r="D106" s="25">
        <f>INDEX(Wetter!B:M,MATCH(A106,Wetter!A:A,0),MATCH(B106,Wetter!B$1:M$1,0))</f>
        <v>9.44</v>
      </c>
      <c r="E106" s="26">
        <v>5436</v>
      </c>
      <c r="F106" s="27">
        <v>3907</v>
      </c>
      <c r="G106" s="35">
        <f>_xlfn.XLOOKUP(A106,Bevölkerung!A:A,Bevölkerung!B:B)</f>
        <v>7123537</v>
      </c>
      <c r="H106" s="28">
        <f t="shared" si="9"/>
        <v>1823.2754031226004</v>
      </c>
      <c r="I106" s="24">
        <f t="shared" si="6"/>
        <v>369.98106060606057</v>
      </c>
      <c r="J106" s="32">
        <f t="shared" si="10"/>
        <v>1.3913488610186844</v>
      </c>
      <c r="K106" s="25">
        <f t="shared" si="11"/>
        <v>1529</v>
      </c>
    </row>
    <row r="107" spans="1:11" x14ac:dyDescent="0.3">
      <c r="A107" s="25">
        <f t="shared" si="7"/>
        <v>1998</v>
      </c>
      <c r="B107" s="25" t="s">
        <v>10</v>
      </c>
      <c r="C107" s="25" t="str">
        <f t="shared" si="8"/>
        <v>Herbst</v>
      </c>
      <c r="D107" s="25">
        <f>INDEX(Wetter!B:M,MATCH(A107,Wetter!A:A,0),MATCH(B107,Wetter!B$1:M$1,0))</f>
        <v>5.63</v>
      </c>
      <c r="E107" s="26">
        <v>4946</v>
      </c>
      <c r="F107" s="27">
        <v>4146</v>
      </c>
      <c r="G107" s="35">
        <f>_xlfn.XLOOKUP(A107,Bevölkerung!A:A,Bevölkerung!B:B)</f>
        <v>7123537</v>
      </c>
      <c r="H107" s="28">
        <f t="shared" si="9"/>
        <v>1718.1710082006753</v>
      </c>
      <c r="I107" s="24">
        <f t="shared" si="6"/>
        <v>288.51774530271399</v>
      </c>
      <c r="J107" s="32">
        <f t="shared" si="10"/>
        <v>1.1929570670525809</v>
      </c>
      <c r="K107" s="25">
        <f t="shared" si="11"/>
        <v>800</v>
      </c>
    </row>
    <row r="108" spans="1:11" x14ac:dyDescent="0.3">
      <c r="A108" s="25">
        <f t="shared" si="7"/>
        <v>1998</v>
      </c>
      <c r="B108" s="25" t="s">
        <v>11</v>
      </c>
      <c r="C108" s="25" t="str">
        <f t="shared" si="8"/>
        <v>Herbst</v>
      </c>
      <c r="D108" s="25">
        <f>INDEX(Wetter!B:M,MATCH(A108,Wetter!A:A,0),MATCH(B108,Wetter!B$1:M$1,0))</f>
        <v>-1.85</v>
      </c>
      <c r="E108" s="26">
        <v>5329</v>
      </c>
      <c r="F108" s="27">
        <v>4617</v>
      </c>
      <c r="G108" s="35">
        <f>_xlfn.XLOOKUP(A108,Bevölkerung!A:A,Bevölkerung!B:B)</f>
        <v>7123537</v>
      </c>
      <c r="H108" s="28">
        <f t="shared" si="9"/>
        <v>1542.8930041152264</v>
      </c>
      <c r="I108" s="24">
        <f t="shared" si="6"/>
        <v>211.30434782608694</v>
      </c>
      <c r="J108" s="32">
        <f t="shared" si="10"/>
        <v>1.154212692224388</v>
      </c>
      <c r="K108" s="25">
        <f t="shared" si="11"/>
        <v>712</v>
      </c>
    </row>
    <row r="109" spans="1:11" x14ac:dyDescent="0.3">
      <c r="A109" s="25">
        <f t="shared" si="7"/>
        <v>1998</v>
      </c>
      <c r="B109" s="25" t="s">
        <v>12</v>
      </c>
      <c r="C109" s="25" t="str">
        <f t="shared" si="8"/>
        <v>Winter</v>
      </c>
      <c r="D109" s="25">
        <f>INDEX(Wetter!B:M,MATCH(A109,Wetter!A:A,0),MATCH(B109,Wetter!B$1:M$1,0))</f>
        <v>-2.0499999999999998</v>
      </c>
      <c r="E109" s="26">
        <v>5208</v>
      </c>
      <c r="F109" s="27">
        <v>4793</v>
      </c>
      <c r="G109" s="35">
        <f>_xlfn.XLOOKUP(A109,Bevölkerung!A:A,Bevölkerung!B:B)</f>
        <v>7123537</v>
      </c>
      <c r="H109" s="28">
        <f t="shared" si="9"/>
        <v>1486.2376382224077</v>
      </c>
      <c r="I109" s="24">
        <f t="shared" si="6"/>
        <v>217.36961451247166</v>
      </c>
      <c r="J109" s="32">
        <f t="shared" si="10"/>
        <v>1.0865846025453787</v>
      </c>
      <c r="K109" s="25">
        <f t="shared" si="11"/>
        <v>415</v>
      </c>
    </row>
    <row r="110" spans="1:11" x14ac:dyDescent="0.3">
      <c r="A110" s="25">
        <f t="shared" si="7"/>
        <v>1999</v>
      </c>
      <c r="B110" s="25" t="s">
        <v>1</v>
      </c>
      <c r="C110" s="25" t="str">
        <f t="shared" si="8"/>
        <v>Winter</v>
      </c>
      <c r="D110" s="25">
        <f>INDEX(Wetter!B:M,MATCH(A110,Wetter!A:A,0),MATCH(B110,Wetter!B$1:M$1,0))</f>
        <v>-1.46</v>
      </c>
      <c r="E110" s="26">
        <v>4827</v>
      </c>
      <c r="F110" s="27">
        <v>4860</v>
      </c>
      <c r="G110" s="35">
        <f>_xlfn.XLOOKUP(A110,Bevölkerung!A:A,Bevölkerung!B:B)</f>
        <v>7164444</v>
      </c>
      <c r="H110" s="28">
        <f t="shared" si="9"/>
        <v>1474.1654320987655</v>
      </c>
      <c r="I110" s="24">
        <f t="shared" si="6"/>
        <v>226.46784715750232</v>
      </c>
      <c r="J110" s="32">
        <f t="shared" si="10"/>
        <v>0.99320987654320991</v>
      </c>
      <c r="K110" s="25">
        <f t="shared" si="11"/>
        <v>-33</v>
      </c>
    </row>
    <row r="111" spans="1:11" x14ac:dyDescent="0.3">
      <c r="A111" s="25">
        <f t="shared" si="7"/>
        <v>1999</v>
      </c>
      <c r="B111" s="25" t="s">
        <v>2</v>
      </c>
      <c r="C111" s="25" t="str">
        <f t="shared" si="8"/>
        <v>Winter</v>
      </c>
      <c r="D111" s="25">
        <f>INDEX(Wetter!B:M,MATCH(A111,Wetter!A:A,0),MATCH(B111,Wetter!B$1:M$1,0))</f>
        <v>-4.18</v>
      </c>
      <c r="E111" s="26">
        <v>4836</v>
      </c>
      <c r="F111" s="27">
        <v>4644</v>
      </c>
      <c r="G111" s="35">
        <f>_xlfn.XLOOKUP(A111,Bevölkerung!A:A,Bevölkerung!B:B)</f>
        <v>7164444</v>
      </c>
      <c r="H111" s="28">
        <f t="shared" si="9"/>
        <v>1542.7312661498709</v>
      </c>
      <c r="I111" s="24">
        <f t="shared" si="6"/>
        <v>192.05955334987593</v>
      </c>
      <c r="J111" s="32">
        <f t="shared" si="10"/>
        <v>1.0413436692506459</v>
      </c>
      <c r="K111" s="25">
        <f t="shared" si="11"/>
        <v>192</v>
      </c>
    </row>
    <row r="112" spans="1:11" x14ac:dyDescent="0.3">
      <c r="A112" s="25">
        <f t="shared" si="7"/>
        <v>1999</v>
      </c>
      <c r="B112" s="25" t="s">
        <v>3</v>
      </c>
      <c r="C112" s="25" t="str">
        <f t="shared" si="8"/>
        <v>Frühling</v>
      </c>
      <c r="D112" s="25">
        <f>INDEX(Wetter!B:M,MATCH(A112,Wetter!A:A,0),MATCH(B112,Wetter!B$1:M$1,0))</f>
        <v>1.36</v>
      </c>
      <c r="E112" s="26">
        <v>4975</v>
      </c>
      <c r="F112" s="27">
        <v>4697</v>
      </c>
      <c r="G112" s="35">
        <f>_xlfn.XLOOKUP(A112,Bevölkerung!A:A,Bevölkerung!B:B)</f>
        <v>7164444</v>
      </c>
      <c r="H112" s="28">
        <f t="shared" si="9"/>
        <v>1525.3233979135618</v>
      </c>
      <c r="I112" s="24">
        <f t="shared" si="6"/>
        <v>251.98497854077252</v>
      </c>
      <c r="J112" s="32">
        <f t="shared" si="10"/>
        <v>1.0591867149244198</v>
      </c>
      <c r="K112" s="25">
        <f t="shared" si="11"/>
        <v>278</v>
      </c>
    </row>
    <row r="113" spans="1:11" x14ac:dyDescent="0.3">
      <c r="A113" s="25">
        <f t="shared" si="7"/>
        <v>1999</v>
      </c>
      <c r="B113" s="25" t="s">
        <v>4</v>
      </c>
      <c r="C113" s="25" t="str">
        <f t="shared" si="8"/>
        <v>Frühling</v>
      </c>
      <c r="D113" s="25">
        <f>INDEX(Wetter!B:M,MATCH(A113,Wetter!A:A,0),MATCH(B113,Wetter!B$1:M$1,0))</f>
        <v>3.7</v>
      </c>
      <c r="E113" s="26">
        <v>4780</v>
      </c>
      <c r="F113" s="27">
        <v>4111</v>
      </c>
      <c r="G113" s="35">
        <f>_xlfn.XLOOKUP(A113,Bevölkerung!A:A,Bevölkerung!B:B)</f>
        <v>7164444</v>
      </c>
      <c r="H113" s="28">
        <f t="shared" si="9"/>
        <v>1742.7496959377281</v>
      </c>
      <c r="I113" s="24">
        <f t="shared" si="6"/>
        <v>252.20858895705521</v>
      </c>
      <c r="J113" s="32">
        <f t="shared" si="10"/>
        <v>1.1627341279494041</v>
      </c>
      <c r="K113" s="25">
        <f t="shared" si="11"/>
        <v>669</v>
      </c>
    </row>
    <row r="114" spans="1:11" x14ac:dyDescent="0.3">
      <c r="A114" s="25">
        <f t="shared" si="7"/>
        <v>1999</v>
      </c>
      <c r="B114" s="25" t="s">
        <v>5</v>
      </c>
      <c r="C114" s="25" t="str">
        <f t="shared" si="8"/>
        <v>Frühling</v>
      </c>
      <c r="D114" s="25">
        <f>INDEX(Wetter!B:M,MATCH(A114,Wetter!A:A,0),MATCH(B114,Wetter!B$1:M$1,0))</f>
        <v>10.37</v>
      </c>
      <c r="E114" s="26">
        <v>6248</v>
      </c>
      <c r="F114" s="27">
        <v>3852</v>
      </c>
      <c r="G114" s="35">
        <f>_xlfn.XLOOKUP(A114,Bevölkerung!A:A,Bevölkerung!B:B)</f>
        <v>7164444</v>
      </c>
      <c r="H114" s="28">
        <f t="shared" si="9"/>
        <v>1859.9283489096574</v>
      </c>
      <c r="I114" s="24">
        <f t="shared" si="6"/>
        <v>399.99999999999994</v>
      </c>
      <c r="J114" s="32">
        <f t="shared" si="10"/>
        <v>1.6220145379023885</v>
      </c>
      <c r="K114" s="25">
        <f t="shared" si="11"/>
        <v>2396</v>
      </c>
    </row>
    <row r="115" spans="1:11" x14ac:dyDescent="0.3">
      <c r="A115" s="25">
        <f t="shared" si="7"/>
        <v>1999</v>
      </c>
      <c r="B115" s="25" t="s">
        <v>6</v>
      </c>
      <c r="C115" s="25" t="str">
        <f t="shared" si="8"/>
        <v>Sommer</v>
      </c>
      <c r="D115" s="25">
        <f>INDEX(Wetter!B:M,MATCH(A115,Wetter!A:A,0),MATCH(B115,Wetter!B$1:M$1,0))</f>
        <v>10.79</v>
      </c>
      <c r="E115" s="26">
        <v>6291</v>
      </c>
      <c r="F115" s="27">
        <v>3732</v>
      </c>
      <c r="G115" s="35">
        <f>_xlfn.XLOOKUP(A115,Bevölkerung!A:A,Bevölkerung!B:B)</f>
        <v>7164444</v>
      </c>
      <c r="H115" s="28">
        <f t="shared" si="9"/>
        <v>1919.733118971061</v>
      </c>
      <c r="I115" s="24">
        <f t="shared" si="6"/>
        <v>405.21172638436479</v>
      </c>
      <c r="J115" s="32">
        <f t="shared" si="10"/>
        <v>1.6856913183279743</v>
      </c>
      <c r="K115" s="25">
        <f t="shared" si="11"/>
        <v>2559</v>
      </c>
    </row>
    <row r="116" spans="1:11" x14ac:dyDescent="0.3">
      <c r="A116" s="25">
        <f t="shared" si="7"/>
        <v>1999</v>
      </c>
      <c r="B116" s="25" t="s">
        <v>7</v>
      </c>
      <c r="C116" s="25" t="str">
        <f t="shared" si="8"/>
        <v>Sommer</v>
      </c>
      <c r="D116" s="25">
        <f>INDEX(Wetter!B:M,MATCH(A116,Wetter!A:A,0),MATCH(B116,Wetter!B$1:M$1,0))</f>
        <v>14.32</v>
      </c>
      <c r="E116" s="26">
        <v>5771</v>
      </c>
      <c r="F116" s="27">
        <v>3627</v>
      </c>
      <c r="G116" s="35">
        <f>_xlfn.XLOOKUP(A116,Bevölkerung!A:A,Bevölkerung!B:B)</f>
        <v>7164444</v>
      </c>
      <c r="H116" s="28">
        <f t="shared" si="9"/>
        <v>1975.3085194375517</v>
      </c>
      <c r="I116" s="24">
        <f t="shared" si="6"/>
        <v>638.55633802816908</v>
      </c>
      <c r="J116" s="32">
        <f t="shared" si="10"/>
        <v>1.5911221395092363</v>
      </c>
      <c r="K116" s="25">
        <f t="shared" si="11"/>
        <v>2144</v>
      </c>
    </row>
    <row r="117" spans="1:11" x14ac:dyDescent="0.3">
      <c r="A117" s="25">
        <f t="shared" si="7"/>
        <v>1999</v>
      </c>
      <c r="B117" s="25" t="s">
        <v>8</v>
      </c>
      <c r="C117" s="25" t="str">
        <f t="shared" si="8"/>
        <v>Sommer</v>
      </c>
      <c r="D117" s="25">
        <f>INDEX(Wetter!B:M,MATCH(A117,Wetter!A:A,0),MATCH(B117,Wetter!B$1:M$1,0))</f>
        <v>13.76</v>
      </c>
      <c r="E117" s="26">
        <v>5651</v>
      </c>
      <c r="F117" s="27">
        <v>3721</v>
      </c>
      <c r="G117" s="35">
        <f>_xlfn.XLOOKUP(A117,Bevölkerung!A:A,Bevölkerung!B:B)</f>
        <v>7164444</v>
      </c>
      <c r="H117" s="28">
        <f t="shared" si="9"/>
        <v>1925.4082235958076</v>
      </c>
      <c r="I117" s="24">
        <f t="shared" si="6"/>
        <v>596.31410256410254</v>
      </c>
      <c r="J117" s="32">
        <f t="shared" si="10"/>
        <v>1.5186777747917226</v>
      </c>
      <c r="K117" s="25">
        <f t="shared" si="11"/>
        <v>1930</v>
      </c>
    </row>
    <row r="118" spans="1:11" x14ac:dyDescent="0.3">
      <c r="A118" s="25">
        <f t="shared" si="7"/>
        <v>1999</v>
      </c>
      <c r="B118" s="25" t="s">
        <v>9</v>
      </c>
      <c r="C118" s="25" t="str">
        <f t="shared" si="8"/>
        <v>Herbst</v>
      </c>
      <c r="D118" s="25">
        <f>INDEX(Wetter!B:M,MATCH(A118,Wetter!A:A,0),MATCH(B118,Wetter!B$1:M$1,0))</f>
        <v>12.23</v>
      </c>
      <c r="E118" s="26">
        <v>5997</v>
      </c>
      <c r="F118" s="27">
        <v>3984</v>
      </c>
      <c r="G118" s="35">
        <f>_xlfn.XLOOKUP(A118,Bevölkerung!A:A,Bevölkerung!B:B)</f>
        <v>7164444</v>
      </c>
      <c r="H118" s="28">
        <f t="shared" si="9"/>
        <v>1798.3042168674699</v>
      </c>
      <c r="I118" s="24">
        <f t="shared" si="6"/>
        <v>512.74131274131275</v>
      </c>
      <c r="J118" s="32">
        <f t="shared" si="10"/>
        <v>1.5052710843373494</v>
      </c>
      <c r="K118" s="25">
        <f t="shared" si="11"/>
        <v>2013</v>
      </c>
    </row>
    <row r="119" spans="1:11" x14ac:dyDescent="0.3">
      <c r="A119" s="25">
        <f t="shared" si="7"/>
        <v>1999</v>
      </c>
      <c r="B119" s="25" t="s">
        <v>10</v>
      </c>
      <c r="C119" s="25" t="str">
        <f t="shared" si="8"/>
        <v>Herbst</v>
      </c>
      <c r="D119" s="25">
        <f>INDEX(Wetter!B:M,MATCH(A119,Wetter!A:A,0),MATCH(B119,Wetter!B$1:M$1,0))</f>
        <v>6.46</v>
      </c>
      <c r="E119" s="26">
        <v>6084</v>
      </c>
      <c r="F119" s="27">
        <v>4276</v>
      </c>
      <c r="G119" s="35">
        <f>_xlfn.XLOOKUP(A119,Bevölkerung!A:A,Bevölkerung!B:B)</f>
        <v>7164444</v>
      </c>
      <c r="H119" s="28">
        <f t="shared" si="9"/>
        <v>1675.5014031805426</v>
      </c>
      <c r="I119" s="24">
        <f t="shared" si="6"/>
        <v>315.80502215657316</v>
      </c>
      <c r="J119" s="32">
        <f t="shared" si="10"/>
        <v>1.422825070159027</v>
      </c>
      <c r="K119" s="25">
        <f t="shared" si="11"/>
        <v>1808</v>
      </c>
    </row>
    <row r="120" spans="1:11" x14ac:dyDescent="0.3">
      <c r="A120" s="25">
        <f t="shared" si="7"/>
        <v>1999</v>
      </c>
      <c r="B120" s="25" t="s">
        <v>11</v>
      </c>
      <c r="C120" s="25" t="str">
        <f t="shared" si="8"/>
        <v>Herbst</v>
      </c>
      <c r="D120" s="25">
        <f>INDEX(Wetter!B:M,MATCH(A120,Wetter!A:A,0),MATCH(B120,Wetter!B$1:M$1,0))</f>
        <v>-0.77</v>
      </c>
      <c r="E120" s="26">
        <v>5790</v>
      </c>
      <c r="F120" s="27">
        <v>4760</v>
      </c>
      <c r="G120" s="35">
        <f>_xlfn.XLOOKUP(A120,Bevölkerung!A:A,Bevölkerung!B:B)</f>
        <v>7164444</v>
      </c>
      <c r="H120" s="28">
        <f t="shared" si="9"/>
        <v>1505.1352941176472</v>
      </c>
      <c r="I120" s="24">
        <f t="shared" si="6"/>
        <v>229.17669715936447</v>
      </c>
      <c r="J120" s="32">
        <f t="shared" si="10"/>
        <v>1.2163865546218486</v>
      </c>
      <c r="K120" s="25">
        <f t="shared" si="11"/>
        <v>1030</v>
      </c>
    </row>
    <row r="121" spans="1:11" x14ac:dyDescent="0.3">
      <c r="A121" s="25">
        <f t="shared" si="7"/>
        <v>1999</v>
      </c>
      <c r="B121" s="25" t="s">
        <v>12</v>
      </c>
      <c r="C121" s="25" t="str">
        <f t="shared" si="8"/>
        <v>Winter</v>
      </c>
      <c r="D121" s="25">
        <f>INDEX(Wetter!B:M,MATCH(A121,Wetter!A:A,0),MATCH(B121,Wetter!B$1:M$1,0))</f>
        <v>-2.12</v>
      </c>
      <c r="E121" s="26">
        <v>5443</v>
      </c>
      <c r="F121" s="27">
        <v>4949</v>
      </c>
      <c r="G121" s="35">
        <f>_xlfn.XLOOKUP(A121,Bevölkerung!A:A,Bevölkerung!B:B)</f>
        <v>7164444</v>
      </c>
      <c r="H121" s="28">
        <f t="shared" si="9"/>
        <v>1447.6548797736916</v>
      </c>
      <c r="I121" s="24">
        <f t="shared" si="6"/>
        <v>223.73417721518987</v>
      </c>
      <c r="J121" s="32">
        <f t="shared" si="10"/>
        <v>1.0998181450798141</v>
      </c>
      <c r="K121" s="25">
        <f t="shared" si="11"/>
        <v>494</v>
      </c>
    </row>
    <row r="122" spans="1:11" x14ac:dyDescent="0.3">
      <c r="A122" s="25">
        <f t="shared" si="7"/>
        <v>2000</v>
      </c>
      <c r="B122" s="25" t="s">
        <v>1</v>
      </c>
      <c r="C122" s="25" t="str">
        <f t="shared" si="8"/>
        <v>Winter</v>
      </c>
      <c r="D122" s="25">
        <f>INDEX(Wetter!B:M,MATCH(A122,Wetter!A:A,0),MATCH(B122,Wetter!B$1:M$1,0))</f>
        <v>-3.4</v>
      </c>
      <c r="E122" s="26">
        <v>5487</v>
      </c>
      <c r="F122" s="27">
        <v>5128</v>
      </c>
      <c r="G122" s="35">
        <f>_xlfn.XLOOKUP(A122,Bevölkerung!A:A,Bevölkerung!B:B)</f>
        <v>7204055</v>
      </c>
      <c r="H122" s="28">
        <f t="shared" si="9"/>
        <v>1404.8469188767551</v>
      </c>
      <c r="I122" s="24">
        <f t="shared" si="6"/>
        <v>219.14529914529916</v>
      </c>
      <c r="J122" s="32">
        <f t="shared" si="10"/>
        <v>1.0700078003120126</v>
      </c>
      <c r="K122" s="25">
        <f t="shared" si="11"/>
        <v>359</v>
      </c>
    </row>
    <row r="123" spans="1:11" x14ac:dyDescent="0.3">
      <c r="A123" s="25">
        <f t="shared" si="7"/>
        <v>2000</v>
      </c>
      <c r="B123" s="25" t="s">
        <v>2</v>
      </c>
      <c r="C123" s="25" t="str">
        <f t="shared" si="8"/>
        <v>Winter</v>
      </c>
      <c r="D123" s="25">
        <f>INDEX(Wetter!B:M,MATCH(A123,Wetter!A:A,0),MATCH(B123,Wetter!B$1:M$1,0))</f>
        <v>-0.42</v>
      </c>
      <c r="E123" s="26">
        <v>4920</v>
      </c>
      <c r="F123" s="27">
        <v>4668</v>
      </c>
      <c r="G123" s="35">
        <f>_xlfn.XLOOKUP(A123,Bevölkerung!A:A,Bevölkerung!B:B)</f>
        <v>7204055</v>
      </c>
      <c r="H123" s="28">
        <f t="shared" si="9"/>
        <v>1543.2851328191946</v>
      </c>
      <c r="I123" s="24">
        <f t="shared" si="6"/>
        <v>228.59941234084229</v>
      </c>
      <c r="J123" s="32">
        <f t="shared" si="10"/>
        <v>1.0539845758354756</v>
      </c>
      <c r="K123" s="25">
        <f t="shared" si="11"/>
        <v>252</v>
      </c>
    </row>
    <row r="124" spans="1:11" x14ac:dyDescent="0.3">
      <c r="A124" s="25">
        <f t="shared" si="7"/>
        <v>2000</v>
      </c>
      <c r="B124" s="25" t="s">
        <v>3</v>
      </c>
      <c r="C124" s="25" t="str">
        <f t="shared" si="8"/>
        <v>Frühling</v>
      </c>
      <c r="D124" s="25">
        <f>INDEX(Wetter!B:M,MATCH(A124,Wetter!A:A,0),MATCH(B124,Wetter!B$1:M$1,0))</f>
        <v>1.3</v>
      </c>
      <c r="E124" s="26">
        <v>5116</v>
      </c>
      <c r="F124" s="27">
        <v>4737</v>
      </c>
      <c r="G124" s="35">
        <f>_xlfn.XLOOKUP(A124,Bevölkerung!A:A,Bevölkerung!B:B)</f>
        <v>7204055</v>
      </c>
      <c r="H124" s="28">
        <f t="shared" si="9"/>
        <v>1520.8053620434875</v>
      </c>
      <c r="I124" s="24">
        <f t="shared" si="6"/>
        <v>253.31550802139037</v>
      </c>
      <c r="J124" s="32">
        <f t="shared" si="10"/>
        <v>1.0800084441629723</v>
      </c>
      <c r="K124" s="25">
        <f t="shared" si="11"/>
        <v>379</v>
      </c>
    </row>
    <row r="125" spans="1:11" x14ac:dyDescent="0.3">
      <c r="A125" s="25">
        <f t="shared" si="7"/>
        <v>2000</v>
      </c>
      <c r="B125" s="25" t="s">
        <v>4</v>
      </c>
      <c r="C125" s="25" t="str">
        <f t="shared" si="8"/>
        <v>Frühling</v>
      </c>
      <c r="D125" s="25">
        <f>INDEX(Wetter!B:M,MATCH(A125,Wetter!A:A,0),MATCH(B125,Wetter!B$1:M$1,0))</f>
        <v>4.96</v>
      </c>
      <c r="E125" s="26">
        <v>4760</v>
      </c>
      <c r="F125" s="27">
        <v>4093</v>
      </c>
      <c r="G125" s="35">
        <f>_xlfn.XLOOKUP(A125,Bevölkerung!A:A,Bevölkerung!B:B)</f>
        <v>7204055</v>
      </c>
      <c r="H125" s="28">
        <f t="shared" si="9"/>
        <v>1760.091619838749</v>
      </c>
      <c r="I125" s="24">
        <f t="shared" si="6"/>
        <v>272.1409574468085</v>
      </c>
      <c r="J125" s="32">
        <f t="shared" si="10"/>
        <v>1.1629611531883703</v>
      </c>
      <c r="K125" s="25">
        <f t="shared" si="11"/>
        <v>667</v>
      </c>
    </row>
    <row r="126" spans="1:11" x14ac:dyDescent="0.3">
      <c r="A126" s="25">
        <f t="shared" si="7"/>
        <v>2000</v>
      </c>
      <c r="B126" s="25" t="s">
        <v>5</v>
      </c>
      <c r="C126" s="25" t="str">
        <f t="shared" si="8"/>
        <v>Frühling</v>
      </c>
      <c r="D126" s="25">
        <f>INDEX(Wetter!B:M,MATCH(A126,Wetter!A:A,0),MATCH(B126,Wetter!B$1:M$1,0))</f>
        <v>10.19</v>
      </c>
      <c r="E126" s="26">
        <v>6484</v>
      </c>
      <c r="F126" s="27">
        <v>4119</v>
      </c>
      <c r="G126" s="35">
        <f>_xlfn.XLOOKUP(A126,Bevölkerung!A:A,Bevölkerung!B:B)</f>
        <v>7204055</v>
      </c>
      <c r="H126" s="28">
        <f t="shared" si="9"/>
        <v>1748.9815489196408</v>
      </c>
      <c r="I126" s="24">
        <f t="shared" si="6"/>
        <v>419.87767584097855</v>
      </c>
      <c r="J126" s="32">
        <f t="shared" si="10"/>
        <v>1.5741684874969653</v>
      </c>
      <c r="K126" s="25">
        <f t="shared" si="11"/>
        <v>2365</v>
      </c>
    </row>
    <row r="127" spans="1:11" x14ac:dyDescent="0.3">
      <c r="A127" s="25">
        <f t="shared" si="7"/>
        <v>2000</v>
      </c>
      <c r="B127" s="25" t="s">
        <v>6</v>
      </c>
      <c r="C127" s="25" t="str">
        <f t="shared" si="8"/>
        <v>Sommer</v>
      </c>
      <c r="D127" s="25">
        <f>INDEX(Wetter!B:M,MATCH(A127,Wetter!A:A,0),MATCH(B127,Wetter!B$1:M$1,0))</f>
        <v>13.4</v>
      </c>
      <c r="E127" s="26">
        <v>6405</v>
      </c>
      <c r="F127" s="27">
        <v>3895</v>
      </c>
      <c r="G127" s="35">
        <f>_xlfn.XLOOKUP(A127,Bevölkerung!A:A,Bevölkerung!B:B)</f>
        <v>7204055</v>
      </c>
      <c r="H127" s="28">
        <f t="shared" si="9"/>
        <v>1849.5648267008985</v>
      </c>
      <c r="I127" s="24">
        <f t="shared" si="6"/>
        <v>590.15151515151513</v>
      </c>
      <c r="J127" s="32">
        <f t="shared" si="10"/>
        <v>1.644415917843389</v>
      </c>
      <c r="K127" s="25">
        <f t="shared" si="11"/>
        <v>2510</v>
      </c>
    </row>
    <row r="128" spans="1:11" x14ac:dyDescent="0.3">
      <c r="A128" s="25">
        <f t="shared" si="7"/>
        <v>2000</v>
      </c>
      <c r="B128" s="25" t="s">
        <v>7</v>
      </c>
      <c r="C128" s="25" t="str">
        <f t="shared" si="8"/>
        <v>Sommer</v>
      </c>
      <c r="D128" s="25">
        <f>INDEX(Wetter!B:M,MATCH(A128,Wetter!A:A,0),MATCH(B128,Wetter!B$1:M$1,0))</f>
        <v>11.57</v>
      </c>
      <c r="E128" s="26">
        <v>5260</v>
      </c>
      <c r="F128" s="27">
        <v>3832</v>
      </c>
      <c r="G128" s="35">
        <f>_xlfn.XLOOKUP(A128,Bevölkerung!A:A,Bevölkerung!B:B)</f>
        <v>7204055</v>
      </c>
      <c r="H128" s="28">
        <f t="shared" si="9"/>
        <v>1879.972599164927</v>
      </c>
      <c r="I128" s="24">
        <f t="shared" si="6"/>
        <v>454.56702253855281</v>
      </c>
      <c r="J128" s="32">
        <f t="shared" si="10"/>
        <v>1.3726513569937369</v>
      </c>
      <c r="K128" s="25">
        <f t="shared" si="11"/>
        <v>1428</v>
      </c>
    </row>
    <row r="129" spans="1:11" x14ac:dyDescent="0.3">
      <c r="A129" s="25">
        <f t="shared" si="7"/>
        <v>2000</v>
      </c>
      <c r="B129" s="25" t="s">
        <v>8</v>
      </c>
      <c r="C129" s="25" t="str">
        <f t="shared" si="8"/>
        <v>Sommer</v>
      </c>
      <c r="D129" s="25">
        <f>INDEX(Wetter!B:M,MATCH(A129,Wetter!A:A,0),MATCH(B129,Wetter!B$1:M$1,0))</f>
        <v>14.67</v>
      </c>
      <c r="E129" s="26">
        <v>4936</v>
      </c>
      <c r="F129" s="27">
        <v>3917</v>
      </c>
      <c r="G129" s="35">
        <f>_xlfn.XLOOKUP(A129,Bevölkerung!A:A,Bevölkerung!B:B)</f>
        <v>7204055</v>
      </c>
      <c r="H129" s="28">
        <f t="shared" si="9"/>
        <v>1839.1766658156753</v>
      </c>
      <c r="I129" s="24">
        <f t="shared" si="6"/>
        <v>734.89681050656657</v>
      </c>
      <c r="J129" s="32">
        <f t="shared" si="10"/>
        <v>1.2601480725044678</v>
      </c>
      <c r="K129" s="25">
        <f t="shared" si="11"/>
        <v>1019</v>
      </c>
    </row>
    <row r="130" spans="1:11" x14ac:dyDescent="0.3">
      <c r="A130" s="25">
        <f t="shared" si="7"/>
        <v>2000</v>
      </c>
      <c r="B130" s="25" t="s">
        <v>9</v>
      </c>
      <c r="C130" s="25" t="str">
        <f t="shared" si="8"/>
        <v>Herbst</v>
      </c>
      <c r="D130" s="25">
        <f>INDEX(Wetter!B:M,MATCH(A130,Wetter!A:A,0),MATCH(B130,Wetter!B$1:M$1,0))</f>
        <v>11.09</v>
      </c>
      <c r="E130" s="26">
        <v>5017</v>
      </c>
      <c r="F130" s="27">
        <v>4065</v>
      </c>
      <c r="G130" s="35">
        <f>_xlfn.XLOOKUP(A130,Bevölkerung!A:A,Bevölkerung!B:B)</f>
        <v>7204055</v>
      </c>
      <c r="H130" s="28">
        <f t="shared" si="9"/>
        <v>1772.2152521525215</v>
      </c>
      <c r="I130" s="24">
        <f t="shared" ref="I130:I193" si="12">F130/(20-D130)</f>
        <v>456.22895622895624</v>
      </c>
      <c r="J130" s="32">
        <f t="shared" si="10"/>
        <v>1.2341943419434194</v>
      </c>
      <c r="K130" s="25">
        <f t="shared" si="11"/>
        <v>952</v>
      </c>
    </row>
    <row r="131" spans="1:11" x14ac:dyDescent="0.3">
      <c r="A131" s="25">
        <f t="shared" ref="A131:A194" si="13">1990+INT((ROW(A130)-1)/12)</f>
        <v>2000</v>
      </c>
      <c r="B131" s="25" t="s">
        <v>10</v>
      </c>
      <c r="C131" s="25" t="str">
        <f t="shared" ref="C131:C194" si="14">IF(OR(B131="dec",B131="jan",B131="feb"),"Winter",IF(OR(B131="mar",B131="apr",B131="may"),"Frühling",IF(OR(B131="jun",B131="jul",B131="aug"),"Sommer","Herbst")))</f>
        <v>Herbst</v>
      </c>
      <c r="D131" s="25">
        <f>INDEX(Wetter!B:M,MATCH(A131,Wetter!A:A,0),MATCH(B131,Wetter!B$1:M$1,0))</f>
        <v>6.56</v>
      </c>
      <c r="E131" s="26">
        <v>5983</v>
      </c>
      <c r="F131" s="27">
        <v>4439</v>
      </c>
      <c r="G131" s="35">
        <f>_xlfn.XLOOKUP(A131,Bevölkerung!A:A,Bevölkerung!B:B)</f>
        <v>7204055</v>
      </c>
      <c r="H131" s="28">
        <f t="shared" ref="H131:H194" si="15">G131/F131</f>
        <v>1622.9004280243298</v>
      </c>
      <c r="I131" s="24">
        <f t="shared" si="12"/>
        <v>330.28273809523807</v>
      </c>
      <c r="J131" s="32">
        <f t="shared" ref="J131:J194" si="16">E131/F131</f>
        <v>1.3478260869565217</v>
      </c>
      <c r="K131" s="25">
        <f t="shared" ref="K131:K194" si="17">E131-F131</f>
        <v>1544</v>
      </c>
    </row>
    <row r="132" spans="1:11" x14ac:dyDescent="0.3">
      <c r="A132" s="25">
        <f t="shared" si="13"/>
        <v>2000</v>
      </c>
      <c r="B132" s="25" t="s">
        <v>11</v>
      </c>
      <c r="C132" s="25" t="str">
        <f t="shared" si="14"/>
        <v>Herbst</v>
      </c>
      <c r="D132" s="25">
        <f>INDEX(Wetter!B:M,MATCH(A132,Wetter!A:A,0),MATCH(B132,Wetter!B$1:M$1,0))</f>
        <v>1.48</v>
      </c>
      <c r="E132" s="26">
        <v>5685</v>
      </c>
      <c r="F132" s="27">
        <v>4694</v>
      </c>
      <c r="G132" s="35">
        <f>_xlfn.XLOOKUP(A132,Bevölkerung!A:A,Bevölkerung!B:B)</f>
        <v>7204055</v>
      </c>
      <c r="H132" s="28">
        <f t="shared" si="15"/>
        <v>1534.736898167874</v>
      </c>
      <c r="I132" s="24">
        <f t="shared" si="12"/>
        <v>253.45572354211663</v>
      </c>
      <c r="J132" s="32">
        <f t="shared" si="16"/>
        <v>1.2111205794631443</v>
      </c>
      <c r="K132" s="25">
        <f t="shared" si="17"/>
        <v>991</v>
      </c>
    </row>
    <row r="133" spans="1:11" x14ac:dyDescent="0.3">
      <c r="A133" s="25">
        <f t="shared" si="13"/>
        <v>2000</v>
      </c>
      <c r="B133" s="25" t="s">
        <v>12</v>
      </c>
      <c r="C133" s="25" t="str">
        <f t="shared" si="14"/>
        <v>Winter</v>
      </c>
      <c r="D133" s="25">
        <f>INDEX(Wetter!B:M,MATCH(A133,Wetter!A:A,0),MATCH(B133,Wetter!B$1:M$1,0))</f>
        <v>0.46</v>
      </c>
      <c r="E133" s="26">
        <v>5295</v>
      </c>
      <c r="F133" s="27">
        <v>4786</v>
      </c>
      <c r="G133" s="35">
        <f>_xlfn.XLOOKUP(A133,Bevölkerung!A:A,Bevölkerung!B:B)</f>
        <v>7204055</v>
      </c>
      <c r="H133" s="28">
        <f t="shared" si="15"/>
        <v>1505.2350605933975</v>
      </c>
      <c r="I133" s="24">
        <f t="shared" si="12"/>
        <v>244.93346980552712</v>
      </c>
      <c r="J133" s="32">
        <f t="shared" si="16"/>
        <v>1.1063518595904722</v>
      </c>
      <c r="K133" s="25">
        <f t="shared" si="17"/>
        <v>509</v>
      </c>
    </row>
    <row r="134" spans="1:11" x14ac:dyDescent="0.3">
      <c r="A134" s="25">
        <f t="shared" si="13"/>
        <v>2001</v>
      </c>
      <c r="B134" s="25" t="s">
        <v>1</v>
      </c>
      <c r="C134" s="25" t="str">
        <f t="shared" si="14"/>
        <v>Winter</v>
      </c>
      <c r="D134" s="25">
        <f>INDEX(Wetter!B:M,MATCH(A134,Wetter!A:A,0),MATCH(B134,Wetter!B$1:M$1,0))</f>
        <v>-2.06</v>
      </c>
      <c r="E134" s="26">
        <v>5653</v>
      </c>
      <c r="F134" s="27">
        <v>5165</v>
      </c>
      <c r="G134" s="35">
        <f>_xlfn.XLOOKUP(A134,Bevölkerung!A:A,Bevölkerung!B:B)</f>
        <v>7255653</v>
      </c>
      <c r="H134" s="28">
        <f t="shared" si="15"/>
        <v>1404.7730880929332</v>
      </c>
      <c r="I134" s="24">
        <f t="shared" si="12"/>
        <v>234.13417951042612</v>
      </c>
      <c r="J134" s="32">
        <f t="shared" si="16"/>
        <v>1.0944820909970958</v>
      </c>
      <c r="K134" s="25">
        <f t="shared" si="17"/>
        <v>488</v>
      </c>
    </row>
    <row r="135" spans="1:11" x14ac:dyDescent="0.3">
      <c r="A135" s="25">
        <f t="shared" si="13"/>
        <v>2001</v>
      </c>
      <c r="B135" s="25" t="s">
        <v>2</v>
      </c>
      <c r="C135" s="25" t="str">
        <f t="shared" si="14"/>
        <v>Winter</v>
      </c>
      <c r="D135" s="25">
        <f>INDEX(Wetter!B:M,MATCH(A135,Wetter!A:A,0),MATCH(B135,Wetter!B$1:M$1,0))</f>
        <v>-1.02</v>
      </c>
      <c r="E135" s="26">
        <v>5259</v>
      </c>
      <c r="F135" s="27">
        <v>4607</v>
      </c>
      <c r="G135" s="35">
        <f>_xlfn.XLOOKUP(A135,Bevölkerung!A:A,Bevölkerung!B:B)</f>
        <v>7255653</v>
      </c>
      <c r="H135" s="28">
        <f t="shared" si="15"/>
        <v>1574.9192533101802</v>
      </c>
      <c r="I135" s="24">
        <f t="shared" si="12"/>
        <v>219.1722169362512</v>
      </c>
      <c r="J135" s="32">
        <f t="shared" si="16"/>
        <v>1.1415237681788584</v>
      </c>
      <c r="K135" s="25">
        <f t="shared" si="17"/>
        <v>652</v>
      </c>
    </row>
    <row r="136" spans="1:11" x14ac:dyDescent="0.3">
      <c r="A136" s="25">
        <f t="shared" si="13"/>
        <v>2001</v>
      </c>
      <c r="B136" s="25" t="s">
        <v>3</v>
      </c>
      <c r="C136" s="25" t="str">
        <f t="shared" si="14"/>
        <v>Frühling</v>
      </c>
      <c r="D136" s="25">
        <f>INDEX(Wetter!B:M,MATCH(A136,Wetter!A:A,0),MATCH(B136,Wetter!B$1:M$1,0))</f>
        <v>2.77</v>
      </c>
      <c r="E136" s="26">
        <v>5743</v>
      </c>
      <c r="F136" s="27">
        <v>4869</v>
      </c>
      <c r="G136" s="35">
        <f>_xlfn.XLOOKUP(A136,Bevölkerung!A:A,Bevölkerung!B:B)</f>
        <v>7255653</v>
      </c>
      <c r="H136" s="28">
        <f t="shared" si="15"/>
        <v>1490.1731361675909</v>
      </c>
      <c r="I136" s="24">
        <f t="shared" si="12"/>
        <v>282.58850841555426</v>
      </c>
      <c r="J136" s="32">
        <f t="shared" si="16"/>
        <v>1.179502978024235</v>
      </c>
      <c r="K136" s="25">
        <f t="shared" si="17"/>
        <v>874</v>
      </c>
    </row>
    <row r="137" spans="1:11" x14ac:dyDescent="0.3">
      <c r="A137" s="25">
        <f t="shared" si="13"/>
        <v>2001</v>
      </c>
      <c r="B137" s="25" t="s">
        <v>4</v>
      </c>
      <c r="C137" s="25" t="str">
        <f t="shared" si="14"/>
        <v>Frühling</v>
      </c>
      <c r="D137" s="25">
        <f>INDEX(Wetter!B:M,MATCH(A137,Wetter!A:A,0),MATCH(B137,Wetter!B$1:M$1,0))</f>
        <v>2.23</v>
      </c>
      <c r="E137" s="26">
        <v>5395</v>
      </c>
      <c r="F137" s="27">
        <v>4359</v>
      </c>
      <c r="G137" s="35">
        <f>_xlfn.XLOOKUP(A137,Bevölkerung!A:A,Bevölkerung!B:B)</f>
        <v>7255653</v>
      </c>
      <c r="H137" s="28">
        <f t="shared" si="15"/>
        <v>1664.5223675154853</v>
      </c>
      <c r="I137" s="24">
        <f t="shared" si="12"/>
        <v>245.30106921778278</v>
      </c>
      <c r="J137" s="32">
        <f t="shared" si="16"/>
        <v>1.2376691901812342</v>
      </c>
      <c r="K137" s="25">
        <f t="shared" si="17"/>
        <v>1036</v>
      </c>
    </row>
    <row r="138" spans="1:11" x14ac:dyDescent="0.3">
      <c r="A138" s="25">
        <f t="shared" si="13"/>
        <v>2001</v>
      </c>
      <c r="B138" s="25" t="s">
        <v>5</v>
      </c>
      <c r="C138" s="25" t="str">
        <f t="shared" si="14"/>
        <v>Frühling</v>
      </c>
      <c r="D138" s="25">
        <f>INDEX(Wetter!B:M,MATCH(A138,Wetter!A:A,0),MATCH(B138,Wetter!B$1:M$1,0))</f>
        <v>10.54</v>
      </c>
      <c r="E138" s="26">
        <v>6711</v>
      </c>
      <c r="F138" s="27">
        <v>4181</v>
      </c>
      <c r="G138" s="35">
        <f>_xlfn.XLOOKUP(A138,Bevölkerung!A:A,Bevölkerung!B:B)</f>
        <v>7255653</v>
      </c>
      <c r="H138" s="28">
        <f t="shared" si="15"/>
        <v>1735.3869887586702</v>
      </c>
      <c r="I138" s="24">
        <f t="shared" si="12"/>
        <v>441.96617336152218</v>
      </c>
      <c r="J138" s="32">
        <f t="shared" si="16"/>
        <v>1.6051183927290122</v>
      </c>
      <c r="K138" s="25">
        <f t="shared" si="17"/>
        <v>2530</v>
      </c>
    </row>
    <row r="139" spans="1:11" x14ac:dyDescent="0.3">
      <c r="A139" s="25">
        <f t="shared" si="13"/>
        <v>2001</v>
      </c>
      <c r="B139" s="25" t="s">
        <v>6</v>
      </c>
      <c r="C139" s="25" t="str">
        <f t="shared" si="14"/>
        <v>Sommer</v>
      </c>
      <c r="D139" s="25">
        <f>INDEX(Wetter!B:M,MATCH(A139,Wetter!A:A,0),MATCH(B139,Wetter!B$1:M$1,0))</f>
        <v>10.78</v>
      </c>
      <c r="E139" s="26">
        <v>6755</v>
      </c>
      <c r="F139" s="27">
        <v>4001</v>
      </c>
      <c r="G139" s="35">
        <f>_xlfn.XLOOKUP(A139,Bevölkerung!A:A,Bevölkerung!B:B)</f>
        <v>7255653</v>
      </c>
      <c r="H139" s="28">
        <f t="shared" si="15"/>
        <v>1813.4598850287427</v>
      </c>
      <c r="I139" s="24">
        <f t="shared" si="12"/>
        <v>433.94793926247286</v>
      </c>
      <c r="J139" s="32">
        <f t="shared" si="16"/>
        <v>1.6883279180204949</v>
      </c>
      <c r="K139" s="25">
        <f t="shared" si="17"/>
        <v>2754</v>
      </c>
    </row>
    <row r="140" spans="1:11" x14ac:dyDescent="0.3">
      <c r="A140" s="25">
        <f t="shared" si="13"/>
        <v>2001</v>
      </c>
      <c r="B140" s="25" t="s">
        <v>7</v>
      </c>
      <c r="C140" s="25" t="str">
        <f t="shared" si="14"/>
        <v>Sommer</v>
      </c>
      <c r="D140" s="25">
        <f>INDEX(Wetter!B:M,MATCH(A140,Wetter!A:A,0),MATCH(B140,Wetter!B$1:M$1,0))</f>
        <v>14.12</v>
      </c>
      <c r="E140" s="26">
        <v>6821</v>
      </c>
      <c r="F140" s="27">
        <v>3966</v>
      </c>
      <c r="G140" s="35">
        <f>_xlfn.XLOOKUP(A140,Bevölkerung!A:A,Bevölkerung!B:B)</f>
        <v>7255653</v>
      </c>
      <c r="H140" s="28">
        <f t="shared" si="15"/>
        <v>1829.4636913767019</v>
      </c>
      <c r="I140" s="24">
        <f t="shared" si="12"/>
        <v>674.48979591836724</v>
      </c>
      <c r="J140" s="32">
        <f t="shared" si="16"/>
        <v>1.7198688855269793</v>
      </c>
      <c r="K140" s="25">
        <f t="shared" si="17"/>
        <v>2855</v>
      </c>
    </row>
    <row r="141" spans="1:11" x14ac:dyDescent="0.3">
      <c r="A141" s="25">
        <f t="shared" si="13"/>
        <v>2001</v>
      </c>
      <c r="B141" s="25" t="s">
        <v>8</v>
      </c>
      <c r="C141" s="25" t="str">
        <f t="shared" si="14"/>
        <v>Sommer</v>
      </c>
      <c r="D141" s="25">
        <f>INDEX(Wetter!B:M,MATCH(A141,Wetter!A:A,0),MATCH(B141,Wetter!B$1:M$1,0))</f>
        <v>14.99</v>
      </c>
      <c r="E141" s="26">
        <v>6371</v>
      </c>
      <c r="F141" s="27">
        <v>4003</v>
      </c>
      <c r="G141" s="35">
        <f>_xlfn.XLOOKUP(A141,Bevölkerung!A:A,Bevölkerung!B:B)</f>
        <v>7255653</v>
      </c>
      <c r="H141" s="28">
        <f t="shared" si="15"/>
        <v>1812.5538346240319</v>
      </c>
      <c r="I141" s="24">
        <f t="shared" si="12"/>
        <v>799.00199600798408</v>
      </c>
      <c r="J141" s="32">
        <f t="shared" si="16"/>
        <v>1.5915563327504372</v>
      </c>
      <c r="K141" s="25">
        <f t="shared" si="17"/>
        <v>2368</v>
      </c>
    </row>
    <row r="142" spans="1:11" x14ac:dyDescent="0.3">
      <c r="A142" s="25">
        <f t="shared" si="13"/>
        <v>2001</v>
      </c>
      <c r="B142" s="25" t="s">
        <v>9</v>
      </c>
      <c r="C142" s="25" t="str">
        <f t="shared" si="14"/>
        <v>Herbst</v>
      </c>
      <c r="D142" s="25">
        <f>INDEX(Wetter!B:M,MATCH(A142,Wetter!A:A,0),MATCH(B142,Wetter!B$1:M$1,0))</f>
        <v>7.16</v>
      </c>
      <c r="E142" s="26">
        <v>5554</v>
      </c>
      <c r="F142" s="27">
        <v>4195</v>
      </c>
      <c r="G142" s="35">
        <f>_xlfn.XLOOKUP(A142,Bevölkerung!A:A,Bevölkerung!B:B)</f>
        <v>7255653</v>
      </c>
      <c r="H142" s="28">
        <f t="shared" si="15"/>
        <v>1729.5954707985697</v>
      </c>
      <c r="I142" s="24">
        <f t="shared" si="12"/>
        <v>326.71339563862927</v>
      </c>
      <c r="J142" s="32">
        <f t="shared" si="16"/>
        <v>1.3239570917759238</v>
      </c>
      <c r="K142" s="25">
        <f t="shared" si="17"/>
        <v>1359</v>
      </c>
    </row>
    <row r="143" spans="1:11" x14ac:dyDescent="0.3">
      <c r="A143" s="25">
        <f t="shared" si="13"/>
        <v>2001</v>
      </c>
      <c r="B143" s="25" t="s">
        <v>10</v>
      </c>
      <c r="C143" s="25" t="str">
        <f t="shared" si="14"/>
        <v>Herbst</v>
      </c>
      <c r="D143" s="25">
        <f>INDEX(Wetter!B:M,MATCH(A143,Wetter!A:A,0),MATCH(B143,Wetter!B$1:M$1,0))</f>
        <v>9.6300000000000008</v>
      </c>
      <c r="E143" s="26">
        <v>5556</v>
      </c>
      <c r="F143" s="27">
        <v>4396</v>
      </c>
      <c r="G143" s="35">
        <f>_xlfn.XLOOKUP(A143,Bevölkerung!A:A,Bevölkerung!B:B)</f>
        <v>7255653</v>
      </c>
      <c r="H143" s="28">
        <f t="shared" si="15"/>
        <v>1650.5125113739764</v>
      </c>
      <c r="I143" s="24">
        <f t="shared" si="12"/>
        <v>423.91513982642238</v>
      </c>
      <c r="J143" s="32">
        <f t="shared" si="16"/>
        <v>1.2638762511373975</v>
      </c>
      <c r="K143" s="25">
        <f t="shared" si="17"/>
        <v>1160</v>
      </c>
    </row>
    <row r="144" spans="1:11" x14ac:dyDescent="0.3">
      <c r="A144" s="25">
        <f t="shared" si="13"/>
        <v>2001</v>
      </c>
      <c r="B144" s="25" t="s">
        <v>11</v>
      </c>
      <c r="C144" s="25" t="str">
        <f t="shared" si="14"/>
        <v>Herbst</v>
      </c>
      <c r="D144" s="25">
        <f>INDEX(Wetter!B:M,MATCH(A144,Wetter!A:A,0),MATCH(B144,Wetter!B$1:M$1,0))</f>
        <v>0.13</v>
      </c>
      <c r="E144" s="26">
        <v>5232</v>
      </c>
      <c r="F144" s="27">
        <v>4881</v>
      </c>
      <c r="G144" s="35">
        <f>_xlfn.XLOOKUP(A144,Bevölkerung!A:A,Bevölkerung!B:B)</f>
        <v>7255653</v>
      </c>
      <c r="H144" s="28">
        <f t="shared" si="15"/>
        <v>1486.5095267363245</v>
      </c>
      <c r="I144" s="24">
        <f t="shared" si="12"/>
        <v>245.64670357322595</v>
      </c>
      <c r="J144" s="32">
        <f t="shared" si="16"/>
        <v>1.0719114935464045</v>
      </c>
      <c r="K144" s="25">
        <f t="shared" si="17"/>
        <v>351</v>
      </c>
    </row>
    <row r="145" spans="1:11" x14ac:dyDescent="0.3">
      <c r="A145" s="25">
        <f t="shared" si="13"/>
        <v>2001</v>
      </c>
      <c r="B145" s="25" t="s">
        <v>12</v>
      </c>
      <c r="C145" s="25" t="str">
        <f t="shared" si="14"/>
        <v>Winter</v>
      </c>
      <c r="D145" s="25">
        <f>INDEX(Wetter!B:M,MATCH(A145,Wetter!A:A,0),MATCH(B145,Wetter!B$1:M$1,0))</f>
        <v>-3.81</v>
      </c>
      <c r="E145" s="26">
        <v>5124</v>
      </c>
      <c r="F145" s="27">
        <v>5126</v>
      </c>
      <c r="G145" s="35">
        <f>_xlfn.XLOOKUP(A145,Bevölkerung!A:A,Bevölkerung!B:B)</f>
        <v>7255653</v>
      </c>
      <c r="H145" s="28">
        <f t="shared" si="15"/>
        <v>1415.4609832227859</v>
      </c>
      <c r="I145" s="24">
        <f t="shared" si="12"/>
        <v>215.28769424611508</v>
      </c>
      <c r="J145" s="32">
        <f t="shared" si="16"/>
        <v>0.99960983222785793</v>
      </c>
      <c r="K145" s="25">
        <f t="shared" si="17"/>
        <v>-2</v>
      </c>
    </row>
    <row r="146" spans="1:11" x14ac:dyDescent="0.3">
      <c r="A146" s="25">
        <f t="shared" si="13"/>
        <v>2002</v>
      </c>
      <c r="B146" s="25" t="s">
        <v>1</v>
      </c>
      <c r="C146" s="25" t="str">
        <f t="shared" si="14"/>
        <v>Winter</v>
      </c>
      <c r="D146" s="25">
        <f>INDEX(Wetter!B:M,MATCH(A146,Wetter!A:A,0),MATCH(B146,Wetter!B$1:M$1,0))</f>
        <v>-1.91</v>
      </c>
      <c r="E146" s="26">
        <v>4999</v>
      </c>
      <c r="F146" s="27">
        <v>5403</v>
      </c>
      <c r="G146" s="35">
        <f>_xlfn.XLOOKUP(A146,Bevölkerung!A:A,Bevölkerung!B:B)</f>
        <v>7313853</v>
      </c>
      <c r="H146" s="28">
        <f t="shared" si="15"/>
        <v>1353.6651860077734</v>
      </c>
      <c r="I146" s="24">
        <f t="shared" si="12"/>
        <v>246.5997261524418</v>
      </c>
      <c r="J146" s="32">
        <f t="shared" si="16"/>
        <v>0.92522672589302235</v>
      </c>
      <c r="K146" s="25">
        <f t="shared" si="17"/>
        <v>-404</v>
      </c>
    </row>
    <row r="147" spans="1:11" x14ac:dyDescent="0.3">
      <c r="A147" s="25">
        <f t="shared" si="13"/>
        <v>2002</v>
      </c>
      <c r="B147" s="25" t="s">
        <v>2</v>
      </c>
      <c r="C147" s="25" t="str">
        <f t="shared" si="14"/>
        <v>Winter</v>
      </c>
      <c r="D147" s="25">
        <f>INDEX(Wetter!B:M,MATCH(A147,Wetter!A:A,0),MATCH(B147,Wetter!B$1:M$1,0))</f>
        <v>0.95</v>
      </c>
      <c r="E147" s="26">
        <v>4289</v>
      </c>
      <c r="F147" s="27">
        <v>4602</v>
      </c>
      <c r="G147" s="35">
        <f>_xlfn.XLOOKUP(A147,Bevölkerung!A:A,Bevölkerung!B:B)</f>
        <v>7313853</v>
      </c>
      <c r="H147" s="28">
        <f t="shared" si="15"/>
        <v>1589.2770534550195</v>
      </c>
      <c r="I147" s="24">
        <f t="shared" si="12"/>
        <v>241.57480314960628</v>
      </c>
      <c r="J147" s="32">
        <f t="shared" si="16"/>
        <v>0.93198609300304214</v>
      </c>
      <c r="K147" s="25">
        <f t="shared" si="17"/>
        <v>-313</v>
      </c>
    </row>
    <row r="148" spans="1:11" x14ac:dyDescent="0.3">
      <c r="A148" s="25">
        <f t="shared" si="13"/>
        <v>2002</v>
      </c>
      <c r="B148" s="25" t="s">
        <v>3</v>
      </c>
      <c r="C148" s="25" t="str">
        <f t="shared" si="14"/>
        <v>Frühling</v>
      </c>
      <c r="D148" s="25">
        <f>INDEX(Wetter!B:M,MATCH(A148,Wetter!A:A,0),MATCH(B148,Wetter!B$1:M$1,0))</f>
        <v>2.5</v>
      </c>
      <c r="E148" s="26">
        <v>4851</v>
      </c>
      <c r="F148" s="27">
        <v>4742</v>
      </c>
      <c r="G148" s="35">
        <f>_xlfn.XLOOKUP(A148,Bevölkerung!A:A,Bevölkerung!B:B)</f>
        <v>7313853</v>
      </c>
      <c r="H148" s="28">
        <f t="shared" si="15"/>
        <v>1542.356178827499</v>
      </c>
      <c r="I148" s="24">
        <f t="shared" si="12"/>
        <v>270.97142857142859</v>
      </c>
      <c r="J148" s="32">
        <f t="shared" si="16"/>
        <v>1.022986081822016</v>
      </c>
      <c r="K148" s="25">
        <f t="shared" si="17"/>
        <v>109</v>
      </c>
    </row>
    <row r="149" spans="1:11" x14ac:dyDescent="0.3">
      <c r="A149" s="25">
        <f t="shared" si="13"/>
        <v>2002</v>
      </c>
      <c r="B149" s="25" t="s">
        <v>4</v>
      </c>
      <c r="C149" s="25" t="str">
        <f t="shared" si="14"/>
        <v>Frühling</v>
      </c>
      <c r="D149" s="25">
        <f>INDEX(Wetter!B:M,MATCH(A149,Wetter!A:A,0),MATCH(B149,Wetter!B$1:M$1,0))</f>
        <v>4.2300000000000004</v>
      </c>
      <c r="E149" s="26">
        <v>4793</v>
      </c>
      <c r="F149" s="27">
        <v>4367</v>
      </c>
      <c r="G149" s="35">
        <f>_xlfn.XLOOKUP(A149,Bevölkerung!A:A,Bevölkerung!B:B)</f>
        <v>7313853</v>
      </c>
      <c r="H149" s="28">
        <f t="shared" si="15"/>
        <v>1674.8003205862149</v>
      </c>
      <c r="I149" s="24">
        <f t="shared" si="12"/>
        <v>276.91819911223843</v>
      </c>
      <c r="J149" s="32">
        <f t="shared" si="16"/>
        <v>1.0975498053583697</v>
      </c>
      <c r="K149" s="25">
        <f t="shared" si="17"/>
        <v>426</v>
      </c>
    </row>
    <row r="150" spans="1:11" x14ac:dyDescent="0.3">
      <c r="A150" s="25">
        <f t="shared" si="13"/>
        <v>2002</v>
      </c>
      <c r="B150" s="25" t="s">
        <v>5</v>
      </c>
      <c r="C150" s="25" t="str">
        <f t="shared" si="14"/>
        <v>Frühling</v>
      </c>
      <c r="D150" s="25">
        <f>INDEX(Wetter!B:M,MATCH(A150,Wetter!A:A,0),MATCH(B150,Wetter!B$1:M$1,0))</f>
        <v>8.08</v>
      </c>
      <c r="E150" s="26">
        <v>5969</v>
      </c>
      <c r="F150" s="27">
        <v>4231</v>
      </c>
      <c r="G150" s="35">
        <f>_xlfn.XLOOKUP(A150,Bevölkerung!A:A,Bevölkerung!B:B)</f>
        <v>7313853</v>
      </c>
      <c r="H150" s="28">
        <f t="shared" si="15"/>
        <v>1728.6346017489955</v>
      </c>
      <c r="I150" s="24">
        <f t="shared" si="12"/>
        <v>354.94966442953023</v>
      </c>
      <c r="J150" s="32">
        <f t="shared" si="16"/>
        <v>1.4107775939494209</v>
      </c>
      <c r="K150" s="25">
        <f t="shared" si="17"/>
        <v>1738</v>
      </c>
    </row>
    <row r="151" spans="1:11" x14ac:dyDescent="0.3">
      <c r="A151" s="25">
        <f t="shared" si="13"/>
        <v>2002</v>
      </c>
      <c r="B151" s="25" t="s">
        <v>6</v>
      </c>
      <c r="C151" s="25" t="str">
        <f t="shared" si="14"/>
        <v>Sommer</v>
      </c>
      <c r="D151" s="25">
        <f>INDEX(Wetter!B:M,MATCH(A151,Wetter!A:A,0),MATCH(B151,Wetter!B$1:M$1,0))</f>
        <v>14.44</v>
      </c>
      <c r="E151" s="26">
        <v>6163</v>
      </c>
      <c r="F151" s="27">
        <v>4080</v>
      </c>
      <c r="G151" s="35">
        <f>_xlfn.XLOOKUP(A151,Bevölkerung!A:A,Bevölkerung!B:B)</f>
        <v>7313853</v>
      </c>
      <c r="H151" s="28">
        <f t="shared" si="15"/>
        <v>1792.6110294117648</v>
      </c>
      <c r="I151" s="24">
        <f t="shared" si="12"/>
        <v>733.81294964028768</v>
      </c>
      <c r="J151" s="32">
        <f t="shared" si="16"/>
        <v>1.5105392156862745</v>
      </c>
      <c r="K151" s="25">
        <f t="shared" si="17"/>
        <v>2083</v>
      </c>
    </row>
    <row r="152" spans="1:11" x14ac:dyDescent="0.3">
      <c r="A152" s="25">
        <f t="shared" si="13"/>
        <v>2002</v>
      </c>
      <c r="B152" s="25" t="s">
        <v>7</v>
      </c>
      <c r="C152" s="25" t="str">
        <f t="shared" si="14"/>
        <v>Sommer</v>
      </c>
      <c r="D152" s="25">
        <f>INDEX(Wetter!B:M,MATCH(A152,Wetter!A:A,0),MATCH(B152,Wetter!B$1:M$1,0))</f>
        <v>13.63</v>
      </c>
      <c r="E152" s="26">
        <v>6308</v>
      </c>
      <c r="F152" s="27">
        <v>3997</v>
      </c>
      <c r="G152" s="35">
        <f>_xlfn.XLOOKUP(A152,Bevölkerung!A:A,Bevölkerung!B:B)</f>
        <v>7313853</v>
      </c>
      <c r="H152" s="28">
        <f t="shared" si="15"/>
        <v>1829.83562672004</v>
      </c>
      <c r="I152" s="24">
        <f t="shared" si="12"/>
        <v>627.47252747252753</v>
      </c>
      <c r="J152" s="32">
        <f t="shared" si="16"/>
        <v>1.5781836377282963</v>
      </c>
      <c r="K152" s="25">
        <f t="shared" si="17"/>
        <v>2311</v>
      </c>
    </row>
    <row r="153" spans="1:11" x14ac:dyDescent="0.3">
      <c r="A153" s="25">
        <f t="shared" si="13"/>
        <v>2002</v>
      </c>
      <c r="B153" s="25" t="s">
        <v>8</v>
      </c>
      <c r="C153" s="25" t="str">
        <f t="shared" si="14"/>
        <v>Sommer</v>
      </c>
      <c r="D153" s="25">
        <f>INDEX(Wetter!B:M,MATCH(A153,Wetter!A:A,0),MATCH(B153,Wetter!B$1:M$1,0))</f>
        <v>13.03</v>
      </c>
      <c r="E153" s="26">
        <v>5545</v>
      </c>
      <c r="F153" s="27">
        <v>3996</v>
      </c>
      <c r="G153" s="35">
        <f>_xlfn.XLOOKUP(A153,Bevölkerung!A:A,Bevölkerung!B:B)</f>
        <v>7313853</v>
      </c>
      <c r="H153" s="28">
        <f t="shared" si="15"/>
        <v>1830.2935435435436</v>
      </c>
      <c r="I153" s="24">
        <f t="shared" si="12"/>
        <v>573.31420373027254</v>
      </c>
      <c r="J153" s="32">
        <f t="shared" si="16"/>
        <v>1.3876376376376376</v>
      </c>
      <c r="K153" s="25">
        <f t="shared" si="17"/>
        <v>1549</v>
      </c>
    </row>
    <row r="154" spans="1:11" x14ac:dyDescent="0.3">
      <c r="A154" s="25">
        <f t="shared" si="13"/>
        <v>2002</v>
      </c>
      <c r="B154" s="25" t="s">
        <v>9</v>
      </c>
      <c r="C154" s="25" t="str">
        <f t="shared" si="14"/>
        <v>Herbst</v>
      </c>
      <c r="D154" s="25">
        <f>INDEX(Wetter!B:M,MATCH(A154,Wetter!A:A,0),MATCH(B154,Wetter!B$1:M$1,0))</f>
        <v>8.84</v>
      </c>
      <c r="E154" s="26">
        <v>5599</v>
      </c>
      <c r="F154" s="27">
        <v>4220</v>
      </c>
      <c r="G154" s="35">
        <f>_xlfn.XLOOKUP(A154,Bevölkerung!A:A,Bevölkerung!B:B)</f>
        <v>7313853</v>
      </c>
      <c r="H154" s="28">
        <f t="shared" si="15"/>
        <v>1733.1405213270143</v>
      </c>
      <c r="I154" s="24">
        <f t="shared" si="12"/>
        <v>378.13620071684585</v>
      </c>
      <c r="J154" s="32">
        <f t="shared" si="16"/>
        <v>1.3267772511848341</v>
      </c>
      <c r="K154" s="25">
        <f t="shared" si="17"/>
        <v>1379</v>
      </c>
    </row>
    <row r="155" spans="1:11" x14ac:dyDescent="0.3">
      <c r="A155" s="25">
        <f t="shared" si="13"/>
        <v>2002</v>
      </c>
      <c r="B155" s="25" t="s">
        <v>10</v>
      </c>
      <c r="C155" s="25" t="str">
        <f t="shared" si="14"/>
        <v>Herbst</v>
      </c>
      <c r="D155" s="25">
        <f>INDEX(Wetter!B:M,MATCH(A155,Wetter!A:A,0),MATCH(B155,Wetter!B$1:M$1,0))</f>
        <v>6.34</v>
      </c>
      <c r="E155" s="26">
        <v>5103</v>
      </c>
      <c r="F155" s="27">
        <v>4629</v>
      </c>
      <c r="G155" s="35">
        <f>_xlfn.XLOOKUP(A155,Bevölkerung!A:A,Bevölkerung!B:B)</f>
        <v>7313853</v>
      </c>
      <c r="H155" s="28">
        <f t="shared" si="15"/>
        <v>1580.00712896954</v>
      </c>
      <c r="I155" s="24">
        <f t="shared" si="12"/>
        <v>338.87262079062958</v>
      </c>
      <c r="J155" s="32">
        <f t="shared" si="16"/>
        <v>1.102397926117952</v>
      </c>
      <c r="K155" s="25">
        <f t="shared" si="17"/>
        <v>474</v>
      </c>
    </row>
    <row r="156" spans="1:11" x14ac:dyDescent="0.3">
      <c r="A156" s="25">
        <f t="shared" si="13"/>
        <v>2002</v>
      </c>
      <c r="B156" s="25" t="s">
        <v>11</v>
      </c>
      <c r="C156" s="25" t="str">
        <f t="shared" si="14"/>
        <v>Herbst</v>
      </c>
      <c r="D156" s="25">
        <f>INDEX(Wetter!B:M,MATCH(A156,Wetter!A:A,0),MATCH(B156,Wetter!B$1:M$1,0))</f>
        <v>2.65</v>
      </c>
      <c r="E156" s="26">
        <v>5758</v>
      </c>
      <c r="F156" s="27">
        <v>4774</v>
      </c>
      <c r="G156" s="35">
        <f>_xlfn.XLOOKUP(A156,Bevölkerung!A:A,Bevölkerung!B:B)</f>
        <v>7313853</v>
      </c>
      <c r="H156" s="28">
        <f t="shared" si="15"/>
        <v>1532.0178047758693</v>
      </c>
      <c r="I156" s="24">
        <f t="shared" si="12"/>
        <v>275.15850144092218</v>
      </c>
      <c r="J156" s="32">
        <f t="shared" si="16"/>
        <v>1.2061164641809803</v>
      </c>
      <c r="K156" s="25">
        <f t="shared" si="17"/>
        <v>984</v>
      </c>
    </row>
    <row r="157" spans="1:11" x14ac:dyDescent="0.3">
      <c r="A157" s="25">
        <f t="shared" si="13"/>
        <v>2002</v>
      </c>
      <c r="B157" s="25" t="s">
        <v>12</v>
      </c>
      <c r="C157" s="25" t="str">
        <f t="shared" si="14"/>
        <v>Winter</v>
      </c>
      <c r="D157" s="25">
        <f>INDEX(Wetter!B:M,MATCH(A157,Wetter!A:A,0),MATCH(B157,Wetter!B$1:M$1,0))</f>
        <v>0.15</v>
      </c>
      <c r="E157" s="26">
        <v>5634</v>
      </c>
      <c r="F157" s="27">
        <v>4988</v>
      </c>
      <c r="G157" s="35">
        <f>_xlfn.XLOOKUP(A157,Bevölkerung!A:A,Bevölkerung!B:B)</f>
        <v>7313853</v>
      </c>
      <c r="H157" s="28">
        <f t="shared" si="15"/>
        <v>1466.2896952686447</v>
      </c>
      <c r="I157" s="24">
        <f t="shared" si="12"/>
        <v>251.28463476070527</v>
      </c>
      <c r="J157" s="32">
        <f t="shared" si="16"/>
        <v>1.1295108259823576</v>
      </c>
      <c r="K157" s="25">
        <f t="shared" si="17"/>
        <v>646</v>
      </c>
    </row>
    <row r="158" spans="1:11" x14ac:dyDescent="0.3">
      <c r="A158" s="25">
        <f t="shared" si="13"/>
        <v>2003</v>
      </c>
      <c r="B158" s="25" t="s">
        <v>1</v>
      </c>
      <c r="C158" s="25" t="str">
        <f t="shared" si="14"/>
        <v>Winter</v>
      </c>
      <c r="D158" s="25">
        <f>INDEX(Wetter!B:M,MATCH(A158,Wetter!A:A,0),MATCH(B158,Wetter!B$1:M$1,0))</f>
        <v>-3.79</v>
      </c>
      <c r="E158" s="26">
        <v>5860</v>
      </c>
      <c r="F158" s="27">
        <v>5360</v>
      </c>
      <c r="G158" s="35">
        <f>_xlfn.XLOOKUP(A158,Bevölkerung!A:A,Bevölkerung!B:B)</f>
        <v>7364148</v>
      </c>
      <c r="H158" s="28">
        <f t="shared" si="15"/>
        <v>1373.9082089552239</v>
      </c>
      <c r="I158" s="24">
        <f t="shared" si="12"/>
        <v>225.30474989491384</v>
      </c>
      <c r="J158" s="32">
        <f t="shared" si="16"/>
        <v>1.0932835820895523</v>
      </c>
      <c r="K158" s="25">
        <f t="shared" si="17"/>
        <v>500</v>
      </c>
    </row>
    <row r="159" spans="1:11" x14ac:dyDescent="0.3">
      <c r="A159" s="25">
        <f t="shared" si="13"/>
        <v>2003</v>
      </c>
      <c r="B159" s="25" t="s">
        <v>2</v>
      </c>
      <c r="C159" s="25" t="str">
        <f t="shared" si="14"/>
        <v>Winter</v>
      </c>
      <c r="D159" s="25">
        <f>INDEX(Wetter!B:M,MATCH(A159,Wetter!A:A,0),MATCH(B159,Wetter!B$1:M$1,0))</f>
        <v>-5.0199999999999996</v>
      </c>
      <c r="E159" s="26">
        <v>5450</v>
      </c>
      <c r="F159" s="27">
        <v>5003</v>
      </c>
      <c r="G159" s="35">
        <f>_xlfn.XLOOKUP(A159,Bevölkerung!A:A,Bevölkerung!B:B)</f>
        <v>7364148</v>
      </c>
      <c r="H159" s="28">
        <f t="shared" si="15"/>
        <v>1471.9464321407156</v>
      </c>
      <c r="I159" s="24">
        <f t="shared" si="12"/>
        <v>199.96003197442047</v>
      </c>
      <c r="J159" s="32">
        <f t="shared" si="16"/>
        <v>1.0893463921647011</v>
      </c>
      <c r="K159" s="25">
        <f t="shared" si="17"/>
        <v>447</v>
      </c>
    </row>
    <row r="160" spans="1:11" x14ac:dyDescent="0.3">
      <c r="A160" s="25">
        <f t="shared" si="13"/>
        <v>2003</v>
      </c>
      <c r="B160" s="25" t="s">
        <v>3</v>
      </c>
      <c r="C160" s="25" t="str">
        <f t="shared" si="14"/>
        <v>Frühling</v>
      </c>
      <c r="D160" s="25">
        <f>INDEX(Wetter!B:M,MATCH(A160,Wetter!A:A,0),MATCH(B160,Wetter!B$1:M$1,0))</f>
        <v>2.8</v>
      </c>
      <c r="E160" s="26">
        <v>5042</v>
      </c>
      <c r="F160" s="27">
        <v>4860</v>
      </c>
      <c r="G160" s="35">
        <f>_xlfn.XLOOKUP(A160,Bevölkerung!A:A,Bevölkerung!B:B)</f>
        <v>7364148</v>
      </c>
      <c r="H160" s="28">
        <f t="shared" si="15"/>
        <v>1515.2567901234568</v>
      </c>
      <c r="I160" s="24">
        <f t="shared" si="12"/>
        <v>282.55813953488371</v>
      </c>
      <c r="J160" s="32">
        <f t="shared" si="16"/>
        <v>1.0374485596707819</v>
      </c>
      <c r="K160" s="25">
        <f t="shared" si="17"/>
        <v>182</v>
      </c>
    </row>
    <row r="161" spans="1:11" x14ac:dyDescent="0.3">
      <c r="A161" s="25">
        <f t="shared" si="13"/>
        <v>2003</v>
      </c>
      <c r="B161" s="25" t="s">
        <v>4</v>
      </c>
      <c r="C161" s="25" t="str">
        <f t="shared" si="14"/>
        <v>Frühling</v>
      </c>
      <c r="D161" s="25">
        <f>INDEX(Wetter!B:M,MATCH(A161,Wetter!A:A,0),MATCH(B161,Wetter!B$1:M$1,0))</f>
        <v>4.3899999999999997</v>
      </c>
      <c r="E161" s="26">
        <v>4934</v>
      </c>
      <c r="F161" s="27">
        <v>4371</v>
      </c>
      <c r="G161" s="35">
        <f>_xlfn.XLOOKUP(A161,Bevölkerung!A:A,Bevölkerung!B:B)</f>
        <v>7364148</v>
      </c>
      <c r="H161" s="28">
        <f t="shared" si="15"/>
        <v>1684.7741935483871</v>
      </c>
      <c r="I161" s="24">
        <f t="shared" si="12"/>
        <v>280.01281229980782</v>
      </c>
      <c r="J161" s="32">
        <f t="shared" si="16"/>
        <v>1.128803477465111</v>
      </c>
      <c r="K161" s="25">
        <f t="shared" si="17"/>
        <v>563</v>
      </c>
    </row>
    <row r="162" spans="1:11" x14ac:dyDescent="0.3">
      <c r="A162" s="25">
        <f t="shared" si="13"/>
        <v>2003</v>
      </c>
      <c r="B162" s="25" t="s">
        <v>5</v>
      </c>
      <c r="C162" s="25" t="str">
        <f t="shared" si="14"/>
        <v>Frühling</v>
      </c>
      <c r="D162" s="25">
        <f>INDEX(Wetter!B:M,MATCH(A162,Wetter!A:A,0),MATCH(B162,Wetter!B$1:M$1,0))</f>
        <v>10.02</v>
      </c>
      <c r="E162" s="26">
        <v>6178</v>
      </c>
      <c r="F162" s="27">
        <v>4142</v>
      </c>
      <c r="G162" s="35">
        <f>_xlfn.XLOOKUP(A162,Bevölkerung!A:A,Bevölkerung!B:B)</f>
        <v>7364148</v>
      </c>
      <c r="H162" s="28">
        <f t="shared" si="15"/>
        <v>1777.9208112023177</v>
      </c>
      <c r="I162" s="24">
        <f t="shared" si="12"/>
        <v>415.03006012024048</v>
      </c>
      <c r="J162" s="32">
        <f t="shared" si="16"/>
        <v>1.4915499758570738</v>
      </c>
      <c r="K162" s="25">
        <f t="shared" si="17"/>
        <v>2036</v>
      </c>
    </row>
    <row r="163" spans="1:11" x14ac:dyDescent="0.3">
      <c r="A163" s="25">
        <f t="shared" si="13"/>
        <v>2003</v>
      </c>
      <c r="B163" s="25" t="s">
        <v>6</v>
      </c>
      <c r="C163" s="25" t="str">
        <f t="shared" si="14"/>
        <v>Sommer</v>
      </c>
      <c r="D163" s="25">
        <f>INDEX(Wetter!B:M,MATCH(A163,Wetter!A:A,0),MATCH(B163,Wetter!B$1:M$1,0))</f>
        <v>17.34</v>
      </c>
      <c r="E163" s="26">
        <v>6185</v>
      </c>
      <c r="F163" s="27">
        <v>4202</v>
      </c>
      <c r="G163" s="35">
        <f>_xlfn.XLOOKUP(A163,Bevölkerung!A:A,Bevölkerung!B:B)</f>
        <v>7364148</v>
      </c>
      <c r="H163" s="28">
        <f t="shared" si="15"/>
        <v>1752.5340314136126</v>
      </c>
      <c r="I163" s="24">
        <f t="shared" si="12"/>
        <v>1579.6992481203006</v>
      </c>
      <c r="J163" s="32">
        <f t="shared" si="16"/>
        <v>1.4719181342217991</v>
      </c>
      <c r="K163" s="25">
        <f t="shared" si="17"/>
        <v>1983</v>
      </c>
    </row>
    <row r="164" spans="1:11" x14ac:dyDescent="0.3">
      <c r="A164" s="25">
        <f t="shared" si="13"/>
        <v>2003</v>
      </c>
      <c r="B164" s="25" t="s">
        <v>7</v>
      </c>
      <c r="C164" s="25" t="str">
        <f t="shared" si="14"/>
        <v>Sommer</v>
      </c>
      <c r="D164" s="25">
        <f>INDEX(Wetter!B:M,MATCH(A164,Wetter!A:A,0),MATCH(B164,Wetter!B$1:M$1,0))</f>
        <v>15.4</v>
      </c>
      <c r="E164" s="26">
        <v>6510</v>
      </c>
      <c r="F164" s="27">
        <v>4101</v>
      </c>
      <c r="G164" s="35">
        <f>_xlfn.XLOOKUP(A164,Bevölkerung!A:A,Bevölkerung!B:B)</f>
        <v>7364148</v>
      </c>
      <c r="H164" s="28">
        <f t="shared" si="15"/>
        <v>1795.6956839795173</v>
      </c>
      <c r="I164" s="24">
        <f t="shared" si="12"/>
        <v>891.52173913043487</v>
      </c>
      <c r="J164" s="32">
        <f t="shared" si="16"/>
        <v>1.5874177029992684</v>
      </c>
      <c r="K164" s="25">
        <f t="shared" si="17"/>
        <v>2409</v>
      </c>
    </row>
    <row r="165" spans="1:11" x14ac:dyDescent="0.3">
      <c r="A165" s="25">
        <f t="shared" si="13"/>
        <v>2003</v>
      </c>
      <c r="B165" s="25" t="s">
        <v>8</v>
      </c>
      <c r="C165" s="25" t="str">
        <f t="shared" si="14"/>
        <v>Sommer</v>
      </c>
      <c r="D165" s="25">
        <f>INDEX(Wetter!B:M,MATCH(A165,Wetter!A:A,0),MATCH(B165,Wetter!B$1:M$1,0))</f>
        <v>17.89</v>
      </c>
      <c r="E165" s="26">
        <v>5403</v>
      </c>
      <c r="F165" s="27">
        <v>4108</v>
      </c>
      <c r="G165" s="35">
        <f>_xlfn.XLOOKUP(A165,Bevölkerung!A:A,Bevölkerung!B:B)</f>
        <v>7364148</v>
      </c>
      <c r="H165" s="28">
        <f t="shared" si="15"/>
        <v>1792.6358325219085</v>
      </c>
      <c r="I165" s="24">
        <f t="shared" si="12"/>
        <v>1946.9194312796214</v>
      </c>
      <c r="J165" s="32">
        <f t="shared" si="16"/>
        <v>1.3152385589094451</v>
      </c>
      <c r="K165" s="25">
        <f t="shared" si="17"/>
        <v>1295</v>
      </c>
    </row>
    <row r="166" spans="1:11" x14ac:dyDescent="0.3">
      <c r="A166" s="25">
        <f t="shared" si="13"/>
        <v>2003</v>
      </c>
      <c r="B166" s="25" t="s">
        <v>9</v>
      </c>
      <c r="C166" s="25" t="str">
        <f t="shared" si="14"/>
        <v>Herbst</v>
      </c>
      <c r="D166" s="25">
        <f>INDEX(Wetter!B:M,MATCH(A166,Wetter!A:A,0),MATCH(B166,Wetter!B$1:M$1,0))</f>
        <v>10.56</v>
      </c>
      <c r="E166" s="26">
        <v>5111</v>
      </c>
      <c r="F166" s="27">
        <v>4237</v>
      </c>
      <c r="G166" s="35">
        <f>_xlfn.XLOOKUP(A166,Bevölkerung!A:A,Bevölkerung!B:B)</f>
        <v>7364148</v>
      </c>
      <c r="H166" s="28">
        <f t="shared" si="15"/>
        <v>1738.0571158838802</v>
      </c>
      <c r="I166" s="24">
        <f t="shared" si="12"/>
        <v>448.83474576271186</v>
      </c>
      <c r="J166" s="32">
        <f t="shared" si="16"/>
        <v>1.2062780269058295</v>
      </c>
      <c r="K166" s="25">
        <f t="shared" si="17"/>
        <v>874</v>
      </c>
    </row>
    <row r="167" spans="1:11" x14ac:dyDescent="0.3">
      <c r="A167" s="25">
        <f t="shared" si="13"/>
        <v>2003</v>
      </c>
      <c r="B167" s="25" t="s">
        <v>10</v>
      </c>
      <c r="C167" s="25" t="str">
        <f t="shared" si="14"/>
        <v>Herbst</v>
      </c>
      <c r="D167" s="25">
        <f>INDEX(Wetter!B:M,MATCH(A167,Wetter!A:A,0),MATCH(B167,Wetter!B$1:M$1,0))</f>
        <v>3.48</v>
      </c>
      <c r="E167" s="26">
        <v>5223</v>
      </c>
      <c r="F167" s="27">
        <v>4736</v>
      </c>
      <c r="G167" s="35">
        <f>_xlfn.XLOOKUP(A167,Bevölkerung!A:A,Bevölkerung!B:B)</f>
        <v>7364148</v>
      </c>
      <c r="H167" s="28">
        <f t="shared" si="15"/>
        <v>1554.9298986486488</v>
      </c>
      <c r="I167" s="24">
        <f t="shared" si="12"/>
        <v>286.68280871670703</v>
      </c>
      <c r="J167" s="32">
        <f t="shared" si="16"/>
        <v>1.1028293918918919</v>
      </c>
      <c r="K167" s="25">
        <f t="shared" si="17"/>
        <v>487</v>
      </c>
    </row>
    <row r="168" spans="1:11" x14ac:dyDescent="0.3">
      <c r="A168" s="25">
        <f t="shared" si="13"/>
        <v>2003</v>
      </c>
      <c r="B168" s="25" t="s">
        <v>11</v>
      </c>
      <c r="C168" s="25" t="str">
        <f t="shared" si="14"/>
        <v>Herbst</v>
      </c>
      <c r="D168" s="25">
        <f>INDEX(Wetter!B:M,MATCH(A168,Wetter!A:A,0),MATCH(B168,Wetter!B$1:M$1,0))</f>
        <v>2.9</v>
      </c>
      <c r="E168" s="26">
        <v>4649</v>
      </c>
      <c r="F168" s="27">
        <v>4850</v>
      </c>
      <c r="G168" s="35">
        <f>_xlfn.XLOOKUP(A168,Bevölkerung!A:A,Bevölkerung!B:B)</f>
        <v>7364148</v>
      </c>
      <c r="H168" s="28">
        <f t="shared" si="15"/>
        <v>1518.3810309278351</v>
      </c>
      <c r="I168" s="24">
        <f t="shared" si="12"/>
        <v>283.62573099415204</v>
      </c>
      <c r="J168" s="32">
        <f t="shared" si="16"/>
        <v>0.95855670103092783</v>
      </c>
      <c r="K168" s="25">
        <f t="shared" si="17"/>
        <v>-201</v>
      </c>
    </row>
    <row r="169" spans="1:11" x14ac:dyDescent="0.3">
      <c r="A169" s="25">
        <f t="shared" si="13"/>
        <v>2003</v>
      </c>
      <c r="B169" s="25" t="s">
        <v>12</v>
      </c>
      <c r="C169" s="25" t="str">
        <f t="shared" si="14"/>
        <v>Winter</v>
      </c>
      <c r="D169" s="25">
        <f>INDEX(Wetter!B:M,MATCH(A169,Wetter!A:A,0),MATCH(B169,Wetter!B$1:M$1,0))</f>
        <v>-1.1000000000000001</v>
      </c>
      <c r="E169" s="26">
        <v>4721</v>
      </c>
      <c r="F169" s="27">
        <v>5152</v>
      </c>
      <c r="G169" s="35">
        <f>_xlfn.XLOOKUP(A169,Bevölkerung!A:A,Bevölkerung!B:B)</f>
        <v>7364148</v>
      </c>
      <c r="H169" s="28">
        <f t="shared" si="15"/>
        <v>1429.3765527950311</v>
      </c>
      <c r="I169" s="24">
        <f t="shared" si="12"/>
        <v>244.17061611374405</v>
      </c>
      <c r="J169" s="32">
        <f t="shared" si="16"/>
        <v>0.9163431677018633</v>
      </c>
      <c r="K169" s="25">
        <f t="shared" si="17"/>
        <v>-431</v>
      </c>
    </row>
    <row r="170" spans="1:11" x14ac:dyDescent="0.3">
      <c r="A170" s="25">
        <f t="shared" si="13"/>
        <v>2004</v>
      </c>
      <c r="B170" s="25" t="s">
        <v>1</v>
      </c>
      <c r="C170" s="25" t="str">
        <f t="shared" si="14"/>
        <v>Winter</v>
      </c>
      <c r="D170" s="25">
        <f>INDEX(Wetter!B:M,MATCH(A170,Wetter!A:A,0),MATCH(B170,Wetter!B$1:M$1,0))</f>
        <v>-2.99</v>
      </c>
      <c r="E170" s="26">
        <v>5109</v>
      </c>
      <c r="F170" s="27">
        <v>5408</v>
      </c>
      <c r="G170" s="35">
        <f>_xlfn.XLOOKUP(A170,Bevölkerung!A:A,Bevölkerung!B:B)</f>
        <v>7415102</v>
      </c>
      <c r="H170" s="28">
        <f t="shared" si="15"/>
        <v>1371.135724852071</v>
      </c>
      <c r="I170" s="24">
        <f t="shared" si="12"/>
        <v>235.23270987385817</v>
      </c>
      <c r="J170" s="32">
        <f t="shared" si="16"/>
        <v>0.94471153846153844</v>
      </c>
      <c r="K170" s="25">
        <f t="shared" si="17"/>
        <v>-299</v>
      </c>
    </row>
    <row r="171" spans="1:11" x14ac:dyDescent="0.3">
      <c r="A171" s="25">
        <f t="shared" si="13"/>
        <v>2004</v>
      </c>
      <c r="B171" s="25" t="s">
        <v>2</v>
      </c>
      <c r="C171" s="25" t="str">
        <f t="shared" si="14"/>
        <v>Winter</v>
      </c>
      <c r="D171" s="25">
        <f>INDEX(Wetter!B:M,MATCH(A171,Wetter!A:A,0),MATCH(B171,Wetter!B$1:M$1,0))</f>
        <v>-1.66</v>
      </c>
      <c r="E171" s="26">
        <v>4615</v>
      </c>
      <c r="F171" s="27">
        <v>4958</v>
      </c>
      <c r="G171" s="35">
        <f>_xlfn.XLOOKUP(A171,Bevölkerung!A:A,Bevölkerung!B:B)</f>
        <v>7415102</v>
      </c>
      <c r="H171" s="28">
        <f t="shared" si="15"/>
        <v>1495.5832997176281</v>
      </c>
      <c r="I171" s="24">
        <f t="shared" si="12"/>
        <v>228.90120036934442</v>
      </c>
      <c r="J171" s="32">
        <f t="shared" si="16"/>
        <v>0.93081887858007262</v>
      </c>
      <c r="K171" s="25">
        <f t="shared" si="17"/>
        <v>-343</v>
      </c>
    </row>
    <row r="172" spans="1:11" x14ac:dyDescent="0.3">
      <c r="A172" s="25">
        <f t="shared" si="13"/>
        <v>2004</v>
      </c>
      <c r="B172" s="25" t="s">
        <v>3</v>
      </c>
      <c r="C172" s="25" t="str">
        <f t="shared" si="14"/>
        <v>Frühling</v>
      </c>
      <c r="D172" s="25">
        <f>INDEX(Wetter!B:M,MATCH(A172,Wetter!A:A,0),MATCH(B172,Wetter!B$1:M$1,0))</f>
        <v>-0.04</v>
      </c>
      <c r="E172" s="26">
        <v>5255</v>
      </c>
      <c r="F172" s="27">
        <v>5161</v>
      </c>
      <c r="G172" s="35">
        <f>_xlfn.XLOOKUP(A172,Bevölkerung!A:A,Bevölkerung!B:B)</f>
        <v>7415102</v>
      </c>
      <c r="H172" s="28">
        <f t="shared" si="15"/>
        <v>1436.7568300716916</v>
      </c>
      <c r="I172" s="24">
        <f t="shared" si="12"/>
        <v>257.53493013972059</v>
      </c>
      <c r="J172" s="32">
        <f t="shared" si="16"/>
        <v>1.0182135245107538</v>
      </c>
      <c r="K172" s="25">
        <f t="shared" si="17"/>
        <v>94</v>
      </c>
    </row>
    <row r="173" spans="1:11" x14ac:dyDescent="0.3">
      <c r="A173" s="25">
        <f t="shared" si="13"/>
        <v>2004</v>
      </c>
      <c r="B173" s="25" t="s">
        <v>4</v>
      </c>
      <c r="C173" s="25" t="str">
        <f t="shared" si="14"/>
        <v>Frühling</v>
      </c>
      <c r="D173" s="25">
        <f>INDEX(Wetter!B:M,MATCH(A173,Wetter!A:A,0),MATCH(B173,Wetter!B$1:M$1,0))</f>
        <v>4.32</v>
      </c>
      <c r="E173" s="26">
        <v>4645</v>
      </c>
      <c r="F173" s="27">
        <v>4414</v>
      </c>
      <c r="G173" s="35">
        <f>_xlfn.XLOOKUP(A173,Bevölkerung!A:A,Bevölkerung!B:B)</f>
        <v>7415102</v>
      </c>
      <c r="H173" s="28">
        <f t="shared" si="15"/>
        <v>1679.905301314001</v>
      </c>
      <c r="I173" s="24">
        <f t="shared" si="12"/>
        <v>281.50510204081633</v>
      </c>
      <c r="J173" s="32">
        <f t="shared" si="16"/>
        <v>1.0523334843679202</v>
      </c>
      <c r="K173" s="25">
        <f t="shared" si="17"/>
        <v>231</v>
      </c>
    </row>
    <row r="174" spans="1:11" x14ac:dyDescent="0.3">
      <c r="A174" s="25">
        <f t="shared" si="13"/>
        <v>2004</v>
      </c>
      <c r="B174" s="25" t="s">
        <v>5</v>
      </c>
      <c r="C174" s="25" t="str">
        <f t="shared" si="14"/>
        <v>Frühling</v>
      </c>
      <c r="D174" s="25">
        <f>INDEX(Wetter!B:M,MATCH(A174,Wetter!A:A,0),MATCH(B174,Wetter!B$1:M$1,0))</f>
        <v>7.23</v>
      </c>
      <c r="E174" s="26">
        <v>5612</v>
      </c>
      <c r="F174" s="27">
        <v>4316</v>
      </c>
      <c r="G174" s="35">
        <f>_xlfn.XLOOKUP(A174,Bevölkerung!A:A,Bevölkerung!B:B)</f>
        <v>7415102</v>
      </c>
      <c r="H174" s="28">
        <f t="shared" si="15"/>
        <v>1718.0495829471733</v>
      </c>
      <c r="I174" s="24">
        <f t="shared" si="12"/>
        <v>337.97963978073614</v>
      </c>
      <c r="J174" s="32">
        <f t="shared" si="16"/>
        <v>1.3002780352177943</v>
      </c>
      <c r="K174" s="25">
        <f t="shared" si="17"/>
        <v>1296</v>
      </c>
    </row>
    <row r="175" spans="1:11" x14ac:dyDescent="0.3">
      <c r="A175" s="25">
        <f t="shared" si="13"/>
        <v>2004</v>
      </c>
      <c r="B175" s="25" t="s">
        <v>6</v>
      </c>
      <c r="C175" s="25" t="str">
        <f t="shared" si="14"/>
        <v>Sommer</v>
      </c>
      <c r="D175" s="25">
        <f>INDEX(Wetter!B:M,MATCH(A175,Wetter!A:A,0),MATCH(B175,Wetter!B$1:M$1,0))</f>
        <v>12</v>
      </c>
      <c r="E175" s="26">
        <v>5826</v>
      </c>
      <c r="F175" s="27">
        <v>4232</v>
      </c>
      <c r="G175" s="35">
        <f>_xlfn.XLOOKUP(A175,Bevölkerung!A:A,Bevölkerung!B:B)</f>
        <v>7415102</v>
      </c>
      <c r="H175" s="28">
        <f t="shared" si="15"/>
        <v>1752.1507561436672</v>
      </c>
      <c r="I175" s="24">
        <f t="shared" si="12"/>
        <v>529</v>
      </c>
      <c r="J175" s="32">
        <f t="shared" si="16"/>
        <v>1.3766540642722118</v>
      </c>
      <c r="K175" s="25">
        <f t="shared" si="17"/>
        <v>1594</v>
      </c>
    </row>
    <row r="176" spans="1:11" x14ac:dyDescent="0.3">
      <c r="A176" s="25">
        <f t="shared" si="13"/>
        <v>2004</v>
      </c>
      <c r="B176" s="25" t="s">
        <v>7</v>
      </c>
      <c r="C176" s="25" t="str">
        <f t="shared" si="14"/>
        <v>Sommer</v>
      </c>
      <c r="D176" s="25">
        <f>INDEX(Wetter!B:M,MATCH(A176,Wetter!A:A,0),MATCH(B176,Wetter!B$1:M$1,0))</f>
        <v>13.58</v>
      </c>
      <c r="E176" s="26">
        <v>6450</v>
      </c>
      <c r="F176" s="27">
        <v>4113</v>
      </c>
      <c r="G176" s="35">
        <f>_xlfn.XLOOKUP(A176,Bevölkerung!A:A,Bevölkerung!B:B)</f>
        <v>7415102</v>
      </c>
      <c r="H176" s="28">
        <f t="shared" si="15"/>
        <v>1802.8451252127402</v>
      </c>
      <c r="I176" s="24">
        <f t="shared" si="12"/>
        <v>640.65420560747668</v>
      </c>
      <c r="J176" s="32">
        <f t="shared" si="16"/>
        <v>1.5681983953318746</v>
      </c>
      <c r="K176" s="25">
        <f t="shared" si="17"/>
        <v>2337</v>
      </c>
    </row>
    <row r="177" spans="1:11" x14ac:dyDescent="0.3">
      <c r="A177" s="25">
        <f t="shared" si="13"/>
        <v>2004</v>
      </c>
      <c r="B177" s="25" t="s">
        <v>8</v>
      </c>
      <c r="C177" s="25" t="str">
        <f t="shared" si="14"/>
        <v>Sommer</v>
      </c>
      <c r="D177" s="25">
        <f>INDEX(Wetter!B:M,MATCH(A177,Wetter!A:A,0),MATCH(B177,Wetter!B$1:M$1,0))</f>
        <v>14.04</v>
      </c>
      <c r="E177" s="26">
        <v>5308</v>
      </c>
      <c r="F177" s="27">
        <v>4178</v>
      </c>
      <c r="G177" s="35">
        <f>_xlfn.XLOOKUP(A177,Bevölkerung!A:A,Bevölkerung!B:B)</f>
        <v>7415102</v>
      </c>
      <c r="H177" s="28">
        <f t="shared" si="15"/>
        <v>1774.797032072762</v>
      </c>
      <c r="I177" s="24">
        <f t="shared" si="12"/>
        <v>701.00671140939585</v>
      </c>
      <c r="J177" s="32">
        <f t="shared" si="16"/>
        <v>1.2704643370033508</v>
      </c>
      <c r="K177" s="25">
        <f t="shared" si="17"/>
        <v>1130</v>
      </c>
    </row>
    <row r="178" spans="1:11" x14ac:dyDescent="0.3">
      <c r="A178" s="25">
        <f t="shared" si="13"/>
        <v>2004</v>
      </c>
      <c r="B178" s="25" t="s">
        <v>9</v>
      </c>
      <c r="C178" s="25" t="str">
        <f t="shared" si="14"/>
        <v>Herbst</v>
      </c>
      <c r="D178" s="25">
        <f>INDEX(Wetter!B:M,MATCH(A178,Wetter!A:A,0),MATCH(B178,Wetter!B$1:M$1,0))</f>
        <v>11.17</v>
      </c>
      <c r="E178" s="26">
        <v>5054</v>
      </c>
      <c r="F178" s="27">
        <v>4322</v>
      </c>
      <c r="G178" s="35">
        <f>_xlfn.XLOOKUP(A178,Bevölkerung!A:A,Bevölkerung!B:B)</f>
        <v>7415102</v>
      </c>
      <c r="H178" s="28">
        <f t="shared" si="15"/>
        <v>1715.6645071726052</v>
      </c>
      <c r="I178" s="24">
        <f t="shared" si="12"/>
        <v>489.46772366930918</v>
      </c>
      <c r="J178" s="32">
        <f t="shared" si="16"/>
        <v>1.1693660342434058</v>
      </c>
      <c r="K178" s="25">
        <f t="shared" si="17"/>
        <v>732</v>
      </c>
    </row>
    <row r="179" spans="1:11" x14ac:dyDescent="0.3">
      <c r="A179" s="25">
        <f t="shared" si="13"/>
        <v>2004</v>
      </c>
      <c r="B179" s="25" t="s">
        <v>10</v>
      </c>
      <c r="C179" s="25" t="str">
        <f t="shared" si="14"/>
        <v>Herbst</v>
      </c>
      <c r="D179" s="25">
        <f>INDEX(Wetter!B:M,MATCH(A179,Wetter!A:A,0),MATCH(B179,Wetter!B$1:M$1,0))</f>
        <v>7.99</v>
      </c>
      <c r="E179" s="26">
        <v>5177</v>
      </c>
      <c r="F179" s="27">
        <v>4660</v>
      </c>
      <c r="G179" s="35">
        <f>_xlfn.XLOOKUP(A179,Bevölkerung!A:A,Bevölkerung!B:B)</f>
        <v>7415102</v>
      </c>
      <c r="H179" s="28">
        <f t="shared" si="15"/>
        <v>1591.2236051502146</v>
      </c>
      <c r="I179" s="24">
        <f t="shared" si="12"/>
        <v>388.00999167360533</v>
      </c>
      <c r="J179" s="32">
        <f t="shared" si="16"/>
        <v>1.1109442060085837</v>
      </c>
      <c r="K179" s="25">
        <f t="shared" si="17"/>
        <v>517</v>
      </c>
    </row>
    <row r="180" spans="1:11" x14ac:dyDescent="0.3">
      <c r="A180" s="25">
        <f t="shared" si="13"/>
        <v>2004</v>
      </c>
      <c r="B180" s="25" t="s">
        <v>11</v>
      </c>
      <c r="C180" s="25" t="str">
        <f t="shared" si="14"/>
        <v>Herbst</v>
      </c>
      <c r="D180" s="25">
        <f>INDEX(Wetter!B:M,MATCH(A180,Wetter!A:A,0),MATCH(B180,Wetter!B$1:M$1,0))</f>
        <v>0.85</v>
      </c>
      <c r="E180" s="26">
        <v>5330</v>
      </c>
      <c r="F180" s="27">
        <v>5020</v>
      </c>
      <c r="G180" s="35">
        <f>_xlfn.XLOOKUP(A180,Bevölkerung!A:A,Bevölkerung!B:B)</f>
        <v>7415102</v>
      </c>
      <c r="H180" s="28">
        <f t="shared" si="15"/>
        <v>1477.1119521912351</v>
      </c>
      <c r="I180" s="24">
        <f t="shared" si="12"/>
        <v>262.14099216710184</v>
      </c>
      <c r="J180" s="32">
        <f t="shared" si="16"/>
        <v>1.0617529880478087</v>
      </c>
      <c r="K180" s="25">
        <f t="shared" si="17"/>
        <v>310</v>
      </c>
    </row>
    <row r="181" spans="1:11" x14ac:dyDescent="0.3">
      <c r="A181" s="25">
        <f t="shared" si="13"/>
        <v>2004</v>
      </c>
      <c r="B181" s="25" t="s">
        <v>12</v>
      </c>
      <c r="C181" s="25" t="str">
        <f t="shared" si="14"/>
        <v>Winter</v>
      </c>
      <c r="D181" s="25">
        <f>INDEX(Wetter!B:M,MATCH(A181,Wetter!A:A,0),MATCH(B181,Wetter!B$1:M$1,0))</f>
        <v>-1.68</v>
      </c>
      <c r="E181" s="26">
        <v>5142</v>
      </c>
      <c r="F181" s="27">
        <v>5389</v>
      </c>
      <c r="G181" s="35">
        <f>_xlfn.XLOOKUP(A181,Bevölkerung!A:A,Bevölkerung!B:B)</f>
        <v>7415102</v>
      </c>
      <c r="H181" s="28">
        <f t="shared" si="15"/>
        <v>1375.9699387641492</v>
      </c>
      <c r="I181" s="24">
        <f t="shared" si="12"/>
        <v>248.57011070110701</v>
      </c>
      <c r="J181" s="32">
        <f t="shared" si="16"/>
        <v>0.9541658934867322</v>
      </c>
      <c r="K181" s="25">
        <f t="shared" si="17"/>
        <v>-247</v>
      </c>
    </row>
    <row r="182" spans="1:11" x14ac:dyDescent="0.3">
      <c r="A182" s="25">
        <f t="shared" si="13"/>
        <v>2005</v>
      </c>
      <c r="B182" s="25" t="s">
        <v>1</v>
      </c>
      <c r="C182" s="25" t="str">
        <f t="shared" si="14"/>
        <v>Winter</v>
      </c>
      <c r="D182" s="25">
        <f>INDEX(Wetter!B:M,MATCH(A182,Wetter!A:A,0),MATCH(B182,Wetter!B$1:M$1,0))</f>
        <v>-3.44</v>
      </c>
      <c r="E182" s="26">
        <v>5067</v>
      </c>
      <c r="F182" s="27">
        <v>5538</v>
      </c>
      <c r="G182" s="35">
        <f>_xlfn.XLOOKUP(A182,Bevölkerung!A:A,Bevölkerung!B:B)</f>
        <v>7459128</v>
      </c>
      <c r="H182" s="28">
        <f t="shared" si="15"/>
        <v>1346.8992416034669</v>
      </c>
      <c r="I182" s="24">
        <f t="shared" si="12"/>
        <v>236.26279863481227</v>
      </c>
      <c r="J182" s="32">
        <f t="shared" si="16"/>
        <v>0.91495124593716148</v>
      </c>
      <c r="K182" s="25">
        <f t="shared" si="17"/>
        <v>-471</v>
      </c>
    </row>
    <row r="183" spans="1:11" x14ac:dyDescent="0.3">
      <c r="A183" s="25">
        <f t="shared" si="13"/>
        <v>2005</v>
      </c>
      <c r="B183" s="25" t="s">
        <v>2</v>
      </c>
      <c r="C183" s="25" t="str">
        <f t="shared" si="14"/>
        <v>Winter</v>
      </c>
      <c r="D183" s="25">
        <f>INDEX(Wetter!B:M,MATCH(A183,Wetter!A:A,0),MATCH(B183,Wetter!B$1:M$1,0))</f>
        <v>-5.88</v>
      </c>
      <c r="E183" s="26">
        <v>5209</v>
      </c>
      <c r="F183" s="27">
        <v>5141</v>
      </c>
      <c r="G183" s="35">
        <f>_xlfn.XLOOKUP(A183,Bevölkerung!A:A,Bevölkerung!B:B)</f>
        <v>7459128</v>
      </c>
      <c r="H183" s="28">
        <f t="shared" si="15"/>
        <v>1450.9099397004475</v>
      </c>
      <c r="I183" s="24">
        <f t="shared" si="12"/>
        <v>198.64760432766616</v>
      </c>
      <c r="J183" s="32">
        <f t="shared" si="16"/>
        <v>1.0132269986383973</v>
      </c>
      <c r="K183" s="25">
        <f t="shared" si="17"/>
        <v>68</v>
      </c>
    </row>
    <row r="184" spans="1:11" x14ac:dyDescent="0.3">
      <c r="A184" s="25">
        <f t="shared" si="13"/>
        <v>2005</v>
      </c>
      <c r="B184" s="25" t="s">
        <v>3</v>
      </c>
      <c r="C184" s="25" t="str">
        <f t="shared" si="14"/>
        <v>Frühling</v>
      </c>
      <c r="D184" s="25">
        <f>INDEX(Wetter!B:M,MATCH(A184,Wetter!A:A,0),MATCH(B184,Wetter!B$1:M$1,0))</f>
        <v>0.67</v>
      </c>
      <c r="E184" s="26">
        <v>5159</v>
      </c>
      <c r="F184" s="27">
        <v>5130</v>
      </c>
      <c r="G184" s="35">
        <f>_xlfn.XLOOKUP(A184,Bevölkerung!A:A,Bevölkerung!B:B)</f>
        <v>7459128</v>
      </c>
      <c r="H184" s="28">
        <f t="shared" si="15"/>
        <v>1454.0210526315789</v>
      </c>
      <c r="I184" s="24">
        <f t="shared" si="12"/>
        <v>265.3905845835489</v>
      </c>
      <c r="J184" s="32">
        <f t="shared" si="16"/>
        <v>1.005653021442495</v>
      </c>
      <c r="K184" s="25">
        <f t="shared" si="17"/>
        <v>29</v>
      </c>
    </row>
    <row r="185" spans="1:11" x14ac:dyDescent="0.3">
      <c r="A185" s="25">
        <f t="shared" si="13"/>
        <v>2005</v>
      </c>
      <c r="B185" s="25" t="s">
        <v>4</v>
      </c>
      <c r="C185" s="25" t="str">
        <f t="shared" si="14"/>
        <v>Frühling</v>
      </c>
      <c r="D185" s="25">
        <f>INDEX(Wetter!B:M,MATCH(A185,Wetter!A:A,0),MATCH(B185,Wetter!B$1:M$1,0))</f>
        <v>4.4400000000000004</v>
      </c>
      <c r="E185" s="26">
        <v>4229</v>
      </c>
      <c r="F185" s="27">
        <v>4568</v>
      </c>
      <c r="G185" s="35">
        <f>_xlfn.XLOOKUP(A185,Bevölkerung!A:A,Bevölkerung!B:B)</f>
        <v>7459128</v>
      </c>
      <c r="H185" s="28">
        <f t="shared" si="15"/>
        <v>1632.908931698774</v>
      </c>
      <c r="I185" s="24">
        <f t="shared" si="12"/>
        <v>293.57326478149105</v>
      </c>
      <c r="J185" s="32">
        <f t="shared" si="16"/>
        <v>0.92578809106830118</v>
      </c>
      <c r="K185" s="25">
        <f t="shared" si="17"/>
        <v>-339</v>
      </c>
    </row>
    <row r="186" spans="1:11" x14ac:dyDescent="0.3">
      <c r="A186" s="25">
        <f t="shared" si="13"/>
        <v>2005</v>
      </c>
      <c r="B186" s="25" t="s">
        <v>5</v>
      </c>
      <c r="C186" s="25" t="str">
        <f t="shared" si="14"/>
        <v>Frühling</v>
      </c>
      <c r="D186" s="25">
        <f>INDEX(Wetter!B:M,MATCH(A186,Wetter!A:A,0),MATCH(B186,Wetter!B$1:M$1,0))</f>
        <v>9.14</v>
      </c>
      <c r="E186" s="26">
        <v>4735</v>
      </c>
      <c r="F186" s="27">
        <v>4350</v>
      </c>
      <c r="G186" s="35">
        <f>_xlfn.XLOOKUP(A186,Bevölkerung!A:A,Bevölkerung!B:B)</f>
        <v>7459128</v>
      </c>
      <c r="H186" s="28">
        <f t="shared" si="15"/>
        <v>1714.7420689655173</v>
      </c>
      <c r="I186" s="24">
        <f t="shared" si="12"/>
        <v>400.55248618784532</v>
      </c>
      <c r="J186" s="32">
        <f t="shared" si="16"/>
        <v>1.0885057471264368</v>
      </c>
      <c r="K186" s="25">
        <f t="shared" si="17"/>
        <v>385</v>
      </c>
    </row>
    <row r="187" spans="1:11" x14ac:dyDescent="0.3">
      <c r="A187" s="25">
        <f t="shared" si="13"/>
        <v>2005</v>
      </c>
      <c r="B187" s="25" t="s">
        <v>6</v>
      </c>
      <c r="C187" s="25" t="str">
        <f t="shared" si="14"/>
        <v>Sommer</v>
      </c>
      <c r="D187" s="25">
        <f>INDEX(Wetter!B:M,MATCH(A187,Wetter!A:A,0),MATCH(B187,Wetter!B$1:M$1,0))</f>
        <v>13.75</v>
      </c>
      <c r="E187" s="26">
        <v>4751</v>
      </c>
      <c r="F187" s="27">
        <v>4337</v>
      </c>
      <c r="G187" s="35">
        <f>_xlfn.XLOOKUP(A187,Bevölkerung!A:A,Bevölkerung!B:B)</f>
        <v>7459128</v>
      </c>
      <c r="H187" s="28">
        <f t="shared" si="15"/>
        <v>1719.8819460456536</v>
      </c>
      <c r="I187" s="24">
        <f t="shared" si="12"/>
        <v>693.92</v>
      </c>
      <c r="J187" s="32">
        <f t="shared" si="16"/>
        <v>1.0954576896472217</v>
      </c>
      <c r="K187" s="25">
        <f t="shared" si="17"/>
        <v>414</v>
      </c>
    </row>
    <row r="188" spans="1:11" x14ac:dyDescent="0.3">
      <c r="A188" s="25">
        <f t="shared" si="13"/>
        <v>2005</v>
      </c>
      <c r="B188" s="25" t="s">
        <v>7</v>
      </c>
      <c r="C188" s="25" t="str">
        <f t="shared" si="14"/>
        <v>Sommer</v>
      </c>
      <c r="D188" s="25">
        <f>INDEX(Wetter!B:M,MATCH(A188,Wetter!A:A,0),MATCH(B188,Wetter!B$1:M$1,0))</f>
        <v>13.95</v>
      </c>
      <c r="E188" s="26">
        <v>4929</v>
      </c>
      <c r="F188" s="27">
        <v>4220</v>
      </c>
      <c r="G188" s="35">
        <f>_xlfn.XLOOKUP(A188,Bevölkerung!A:A,Bevölkerung!B:B)</f>
        <v>7459128</v>
      </c>
      <c r="H188" s="28">
        <f t="shared" si="15"/>
        <v>1767.5658767772511</v>
      </c>
      <c r="I188" s="24">
        <f t="shared" si="12"/>
        <v>697.52066115702473</v>
      </c>
      <c r="J188" s="32">
        <f t="shared" si="16"/>
        <v>1.1680094786729858</v>
      </c>
      <c r="K188" s="25">
        <f t="shared" si="17"/>
        <v>709</v>
      </c>
    </row>
    <row r="189" spans="1:11" x14ac:dyDescent="0.3">
      <c r="A189" s="25">
        <f t="shared" si="13"/>
        <v>2005</v>
      </c>
      <c r="B189" s="25" t="s">
        <v>8</v>
      </c>
      <c r="C189" s="25" t="str">
        <f t="shared" si="14"/>
        <v>Sommer</v>
      </c>
      <c r="D189" s="25">
        <f>INDEX(Wetter!B:M,MATCH(A189,Wetter!A:A,0),MATCH(B189,Wetter!B$1:M$1,0))</f>
        <v>11.97</v>
      </c>
      <c r="E189" s="26">
        <v>4439</v>
      </c>
      <c r="F189" s="27">
        <v>4232</v>
      </c>
      <c r="G189" s="35">
        <f>_xlfn.XLOOKUP(A189,Bevölkerung!A:A,Bevölkerung!B:B)</f>
        <v>7459128</v>
      </c>
      <c r="H189" s="28">
        <f t="shared" si="15"/>
        <v>1762.553875236295</v>
      </c>
      <c r="I189" s="24">
        <f t="shared" si="12"/>
        <v>527.02366127023663</v>
      </c>
      <c r="J189" s="32">
        <f t="shared" si="16"/>
        <v>1.048913043478261</v>
      </c>
      <c r="K189" s="25">
        <f t="shared" si="17"/>
        <v>207</v>
      </c>
    </row>
    <row r="190" spans="1:11" x14ac:dyDescent="0.3">
      <c r="A190" s="25">
        <f t="shared" si="13"/>
        <v>2005</v>
      </c>
      <c r="B190" s="25" t="s">
        <v>9</v>
      </c>
      <c r="C190" s="25" t="str">
        <f t="shared" si="14"/>
        <v>Herbst</v>
      </c>
      <c r="D190" s="25">
        <f>INDEX(Wetter!B:M,MATCH(A190,Wetter!A:A,0),MATCH(B190,Wetter!B$1:M$1,0))</f>
        <v>11.27</v>
      </c>
      <c r="E190" s="26">
        <v>5151</v>
      </c>
      <c r="F190" s="27">
        <v>4430</v>
      </c>
      <c r="G190" s="35">
        <f>_xlfn.XLOOKUP(A190,Bevölkerung!A:A,Bevölkerung!B:B)</f>
        <v>7459128</v>
      </c>
      <c r="H190" s="28">
        <f t="shared" si="15"/>
        <v>1683.776072234763</v>
      </c>
      <c r="I190" s="24">
        <f t="shared" si="12"/>
        <v>507.44558991981671</v>
      </c>
      <c r="J190" s="32">
        <f t="shared" si="16"/>
        <v>1.1627539503386004</v>
      </c>
      <c r="K190" s="25">
        <f t="shared" si="17"/>
        <v>721</v>
      </c>
    </row>
    <row r="191" spans="1:11" x14ac:dyDescent="0.3">
      <c r="A191" s="25">
        <f t="shared" si="13"/>
        <v>2005</v>
      </c>
      <c r="B191" s="25" t="s">
        <v>10</v>
      </c>
      <c r="C191" s="25" t="str">
        <f t="shared" si="14"/>
        <v>Herbst</v>
      </c>
      <c r="D191" s="25">
        <f>INDEX(Wetter!B:M,MATCH(A191,Wetter!A:A,0),MATCH(B191,Wetter!B$1:M$1,0))</f>
        <v>7.92</v>
      </c>
      <c r="E191" s="26">
        <v>4829</v>
      </c>
      <c r="F191" s="27">
        <v>4706</v>
      </c>
      <c r="G191" s="35">
        <f>_xlfn.XLOOKUP(A191,Bevölkerung!A:A,Bevölkerung!B:B)</f>
        <v>7459128</v>
      </c>
      <c r="H191" s="28">
        <f t="shared" si="15"/>
        <v>1585.0250743731406</v>
      </c>
      <c r="I191" s="24">
        <f t="shared" si="12"/>
        <v>389.56953642384104</v>
      </c>
      <c r="J191" s="32">
        <f t="shared" si="16"/>
        <v>1.0261368465788356</v>
      </c>
      <c r="K191" s="25">
        <f t="shared" si="17"/>
        <v>123</v>
      </c>
    </row>
    <row r="192" spans="1:11" x14ac:dyDescent="0.3">
      <c r="A192" s="25">
        <f t="shared" si="13"/>
        <v>2005</v>
      </c>
      <c r="B192" s="25" t="s">
        <v>11</v>
      </c>
      <c r="C192" s="25" t="str">
        <f t="shared" si="14"/>
        <v>Herbst</v>
      </c>
      <c r="D192" s="25">
        <f>INDEX(Wetter!B:M,MATCH(A192,Wetter!A:A,0),MATCH(B192,Wetter!B$1:M$1,0))</f>
        <v>0.4</v>
      </c>
      <c r="E192" s="26">
        <v>4745</v>
      </c>
      <c r="F192" s="27">
        <v>5084</v>
      </c>
      <c r="G192" s="35">
        <f>_xlfn.XLOOKUP(A192,Bevölkerung!A:A,Bevölkerung!B:B)</f>
        <v>7459128</v>
      </c>
      <c r="H192" s="28">
        <f t="shared" si="15"/>
        <v>1467.1770259638081</v>
      </c>
      <c r="I192" s="24">
        <f t="shared" si="12"/>
        <v>259.38775510204079</v>
      </c>
      <c r="J192" s="32">
        <f t="shared" si="16"/>
        <v>0.93332022029897721</v>
      </c>
      <c r="K192" s="25">
        <f t="shared" si="17"/>
        <v>-339</v>
      </c>
    </row>
    <row r="193" spans="1:11" x14ac:dyDescent="0.3">
      <c r="A193" s="25">
        <f t="shared" si="13"/>
        <v>2005</v>
      </c>
      <c r="B193" s="25" t="s">
        <v>12</v>
      </c>
      <c r="C193" s="25" t="str">
        <f t="shared" si="14"/>
        <v>Winter</v>
      </c>
      <c r="D193" s="25">
        <f>INDEX(Wetter!B:M,MATCH(A193,Wetter!A:A,0),MATCH(B193,Wetter!B$1:M$1,0))</f>
        <v>-4.3</v>
      </c>
      <c r="E193" s="26">
        <v>4675</v>
      </c>
      <c r="F193" s="27">
        <v>5594</v>
      </c>
      <c r="G193" s="35">
        <f>_xlfn.XLOOKUP(A193,Bevölkerung!A:A,Bevölkerung!B:B)</f>
        <v>7459128</v>
      </c>
      <c r="H193" s="28">
        <f t="shared" si="15"/>
        <v>1333.4158026456919</v>
      </c>
      <c r="I193" s="24">
        <f t="shared" si="12"/>
        <v>230.20576131687241</v>
      </c>
      <c r="J193" s="32">
        <f t="shared" si="16"/>
        <v>0.83571683947086162</v>
      </c>
      <c r="K193" s="25">
        <f t="shared" si="17"/>
        <v>-919</v>
      </c>
    </row>
    <row r="194" spans="1:11" x14ac:dyDescent="0.3">
      <c r="A194" s="25">
        <f t="shared" si="13"/>
        <v>2006</v>
      </c>
      <c r="B194" s="25" t="s">
        <v>1</v>
      </c>
      <c r="C194" s="25" t="str">
        <f t="shared" si="14"/>
        <v>Winter</v>
      </c>
      <c r="D194" s="25">
        <f>INDEX(Wetter!B:M,MATCH(A194,Wetter!A:A,0),MATCH(B194,Wetter!B$1:M$1,0))</f>
        <v>-4.43</v>
      </c>
      <c r="E194" s="26">
        <v>4708</v>
      </c>
      <c r="F194" s="27">
        <v>5760</v>
      </c>
      <c r="G194" s="35">
        <f>_xlfn.XLOOKUP(A194,Bevölkerung!A:A,Bevölkerung!B:B)</f>
        <v>7508739</v>
      </c>
      <c r="H194" s="28">
        <f t="shared" si="15"/>
        <v>1303.6005208333333</v>
      </c>
      <c r="I194" s="24">
        <f t="shared" ref="I194:I257" si="18">F194/(20-D194)</f>
        <v>235.77568563241917</v>
      </c>
      <c r="J194" s="32">
        <f t="shared" si="16"/>
        <v>0.81736111111111109</v>
      </c>
      <c r="K194" s="25">
        <f t="shared" si="17"/>
        <v>-1052</v>
      </c>
    </row>
    <row r="195" spans="1:11" x14ac:dyDescent="0.3">
      <c r="A195" s="25">
        <f t="shared" ref="A195:A258" si="19">1990+INT((ROW(A194)-1)/12)</f>
        <v>2006</v>
      </c>
      <c r="B195" s="25" t="s">
        <v>2</v>
      </c>
      <c r="C195" s="25" t="str">
        <f t="shared" ref="C195:C258" si="20">IF(OR(B195="dec",B195="jan",B195="feb"),"Winter",IF(OR(B195="mar",B195="apr",B195="may"),"Frühling",IF(OR(B195="jun",B195="jul",B195="aug"),"Sommer","Herbst")))</f>
        <v>Winter</v>
      </c>
      <c r="D195" s="25">
        <f>INDEX(Wetter!B:M,MATCH(A195,Wetter!A:A,0),MATCH(B195,Wetter!B$1:M$1,0))</f>
        <v>-3.38</v>
      </c>
      <c r="E195" s="26">
        <v>4472</v>
      </c>
      <c r="F195" s="27">
        <v>5146</v>
      </c>
      <c r="G195" s="35">
        <f>_xlfn.XLOOKUP(A195,Bevölkerung!A:A,Bevölkerung!B:B)</f>
        <v>7508739</v>
      </c>
      <c r="H195" s="28">
        <f t="shared" ref="H195:H258" si="21">G195/F195</f>
        <v>1459.1408861251457</v>
      </c>
      <c r="I195" s="24">
        <f t="shared" si="18"/>
        <v>220.1026518391788</v>
      </c>
      <c r="J195" s="32">
        <f t="shared" ref="J195:J258" si="22">E195/F195</f>
        <v>0.86902448503692187</v>
      </c>
      <c r="K195" s="25">
        <f t="shared" ref="K195:K258" si="23">E195-F195</f>
        <v>-674</v>
      </c>
    </row>
    <row r="196" spans="1:11" x14ac:dyDescent="0.3">
      <c r="A196" s="25">
        <f t="shared" si="19"/>
        <v>2006</v>
      </c>
      <c r="B196" s="25" t="s">
        <v>3</v>
      </c>
      <c r="C196" s="25" t="str">
        <f t="shared" si="20"/>
        <v>Frühling</v>
      </c>
      <c r="D196" s="25">
        <f>INDEX(Wetter!B:M,MATCH(A196,Wetter!A:A,0),MATCH(B196,Wetter!B$1:M$1,0))</f>
        <v>-1.0900000000000001</v>
      </c>
      <c r="E196" s="26">
        <v>4876</v>
      </c>
      <c r="F196" s="27">
        <v>5499</v>
      </c>
      <c r="G196" s="35">
        <f>_xlfn.XLOOKUP(A196,Bevölkerung!A:A,Bevölkerung!B:B)</f>
        <v>7508739</v>
      </c>
      <c r="H196" s="28">
        <f t="shared" si="21"/>
        <v>1365.4735406437535</v>
      </c>
      <c r="I196" s="24">
        <f t="shared" si="18"/>
        <v>260.73968705547651</v>
      </c>
      <c r="J196" s="32">
        <f t="shared" si="22"/>
        <v>0.88670667394071645</v>
      </c>
      <c r="K196" s="25">
        <f t="shared" si="23"/>
        <v>-623</v>
      </c>
    </row>
    <row r="197" spans="1:11" x14ac:dyDescent="0.3">
      <c r="A197" s="25">
        <f t="shared" si="19"/>
        <v>2006</v>
      </c>
      <c r="B197" s="25" t="s">
        <v>4</v>
      </c>
      <c r="C197" s="25" t="str">
        <f t="shared" si="20"/>
        <v>Frühling</v>
      </c>
      <c r="D197" s="25">
        <f>INDEX(Wetter!B:M,MATCH(A197,Wetter!A:A,0),MATCH(B197,Wetter!B$1:M$1,0))</f>
        <v>4.17</v>
      </c>
      <c r="E197" s="26">
        <v>4794</v>
      </c>
      <c r="F197" s="27">
        <v>4531</v>
      </c>
      <c r="G197" s="35">
        <f>_xlfn.XLOOKUP(A197,Bevölkerung!A:A,Bevölkerung!B:B)</f>
        <v>7508739</v>
      </c>
      <c r="H197" s="28">
        <f t="shared" si="21"/>
        <v>1657.1924519973516</v>
      </c>
      <c r="I197" s="24">
        <f t="shared" si="18"/>
        <v>286.22867972204676</v>
      </c>
      <c r="J197" s="32">
        <f t="shared" si="22"/>
        <v>1.0580445817700286</v>
      </c>
      <c r="K197" s="25">
        <f t="shared" si="23"/>
        <v>263</v>
      </c>
    </row>
    <row r="198" spans="1:11" x14ac:dyDescent="0.3">
      <c r="A198" s="25">
        <f t="shared" si="19"/>
        <v>2006</v>
      </c>
      <c r="B198" s="25" t="s">
        <v>5</v>
      </c>
      <c r="C198" s="25" t="str">
        <f t="shared" si="20"/>
        <v>Frühling</v>
      </c>
      <c r="D198" s="25">
        <f>INDEX(Wetter!B:M,MATCH(A198,Wetter!A:A,0),MATCH(B198,Wetter!B$1:M$1,0))</f>
        <v>8.57</v>
      </c>
      <c r="E198" s="26">
        <v>5897</v>
      </c>
      <c r="F198" s="27">
        <v>4450</v>
      </c>
      <c r="G198" s="35">
        <f>_xlfn.XLOOKUP(A198,Bevölkerung!A:A,Bevölkerung!B:B)</f>
        <v>7508739</v>
      </c>
      <c r="H198" s="28">
        <f t="shared" si="21"/>
        <v>1687.3570786516855</v>
      </c>
      <c r="I198" s="24">
        <f t="shared" si="18"/>
        <v>389.32633420822395</v>
      </c>
      <c r="J198" s="32">
        <f t="shared" si="22"/>
        <v>1.3251685393258428</v>
      </c>
      <c r="K198" s="25">
        <f t="shared" si="23"/>
        <v>1447</v>
      </c>
    </row>
    <row r="199" spans="1:11" x14ac:dyDescent="0.3">
      <c r="A199" s="25">
        <f t="shared" si="19"/>
        <v>2006</v>
      </c>
      <c r="B199" s="25" t="s">
        <v>6</v>
      </c>
      <c r="C199" s="25" t="str">
        <f t="shared" si="20"/>
        <v>Sommer</v>
      </c>
      <c r="D199" s="25">
        <f>INDEX(Wetter!B:M,MATCH(A199,Wetter!A:A,0),MATCH(B199,Wetter!B$1:M$1,0))</f>
        <v>13.27</v>
      </c>
      <c r="E199" s="26">
        <v>5298</v>
      </c>
      <c r="F199" s="27">
        <v>4342</v>
      </c>
      <c r="G199" s="35">
        <f>_xlfn.XLOOKUP(A199,Bevölkerung!A:A,Bevölkerung!B:B)</f>
        <v>7508739</v>
      </c>
      <c r="H199" s="28">
        <f t="shared" si="21"/>
        <v>1729.3272685398433</v>
      </c>
      <c r="I199" s="24">
        <f t="shared" si="18"/>
        <v>645.17087667161957</v>
      </c>
      <c r="J199" s="32">
        <f t="shared" si="22"/>
        <v>1.2201750345462921</v>
      </c>
      <c r="K199" s="25">
        <f t="shared" si="23"/>
        <v>956</v>
      </c>
    </row>
    <row r="200" spans="1:11" x14ac:dyDescent="0.3">
      <c r="A200" s="25">
        <f t="shared" si="19"/>
        <v>2006</v>
      </c>
      <c r="B200" s="25" t="s">
        <v>7</v>
      </c>
      <c r="C200" s="25" t="str">
        <f t="shared" si="20"/>
        <v>Sommer</v>
      </c>
      <c r="D200" s="25">
        <f>INDEX(Wetter!B:M,MATCH(A200,Wetter!A:A,0),MATCH(B200,Wetter!B$1:M$1,0))</f>
        <v>17.690000000000001</v>
      </c>
      <c r="E200" s="26">
        <v>6262</v>
      </c>
      <c r="F200" s="27">
        <v>4283</v>
      </c>
      <c r="G200" s="35">
        <f>_xlfn.XLOOKUP(A200,Bevölkerung!A:A,Bevölkerung!B:B)</f>
        <v>7508739</v>
      </c>
      <c r="H200" s="28">
        <f t="shared" si="21"/>
        <v>1753.1494279710482</v>
      </c>
      <c r="I200" s="24">
        <f t="shared" si="18"/>
        <v>1854.1125541125552</v>
      </c>
      <c r="J200" s="32">
        <f t="shared" si="22"/>
        <v>1.4620593042260097</v>
      </c>
      <c r="K200" s="25">
        <f t="shared" si="23"/>
        <v>1979</v>
      </c>
    </row>
    <row r="201" spans="1:11" x14ac:dyDescent="0.3">
      <c r="A201" s="25">
        <f t="shared" si="19"/>
        <v>2006</v>
      </c>
      <c r="B201" s="25" t="s">
        <v>8</v>
      </c>
      <c r="C201" s="25" t="str">
        <f t="shared" si="20"/>
        <v>Sommer</v>
      </c>
      <c r="D201" s="25">
        <f>INDEX(Wetter!B:M,MATCH(A201,Wetter!A:A,0),MATCH(B201,Wetter!B$1:M$1,0))</f>
        <v>10.45</v>
      </c>
      <c r="E201" s="26">
        <v>4878</v>
      </c>
      <c r="F201" s="27">
        <v>4257</v>
      </c>
      <c r="G201" s="35">
        <f>_xlfn.XLOOKUP(A201,Bevölkerung!A:A,Bevölkerung!B:B)</f>
        <v>7508739</v>
      </c>
      <c r="H201" s="28">
        <f t="shared" si="21"/>
        <v>1763.8569415081042</v>
      </c>
      <c r="I201" s="24">
        <f t="shared" si="18"/>
        <v>445.75916230366488</v>
      </c>
      <c r="J201" s="32">
        <f t="shared" si="22"/>
        <v>1.1458773784355181</v>
      </c>
      <c r="K201" s="25">
        <f t="shared" si="23"/>
        <v>621</v>
      </c>
    </row>
    <row r="202" spans="1:11" x14ac:dyDescent="0.3">
      <c r="A202" s="25">
        <f t="shared" si="19"/>
        <v>2006</v>
      </c>
      <c r="B202" s="25" t="s">
        <v>9</v>
      </c>
      <c r="C202" s="25" t="str">
        <f t="shared" si="20"/>
        <v>Herbst</v>
      </c>
      <c r="D202" s="25">
        <f>INDEX(Wetter!B:M,MATCH(A202,Wetter!A:A,0),MATCH(B202,Wetter!B$1:M$1,0))</f>
        <v>13.14</v>
      </c>
      <c r="E202" s="26">
        <v>5618</v>
      </c>
      <c r="F202" s="27">
        <v>4457</v>
      </c>
      <c r="G202" s="35">
        <f>_xlfn.XLOOKUP(A202,Bevölkerung!A:A,Bevölkerung!B:B)</f>
        <v>7508739</v>
      </c>
      <c r="H202" s="28">
        <f t="shared" si="21"/>
        <v>1684.7069777877496</v>
      </c>
      <c r="I202" s="24">
        <f t="shared" si="18"/>
        <v>649.70845481049571</v>
      </c>
      <c r="J202" s="32">
        <f t="shared" si="22"/>
        <v>1.2604891182409692</v>
      </c>
      <c r="K202" s="25">
        <f t="shared" si="23"/>
        <v>1161</v>
      </c>
    </row>
    <row r="203" spans="1:11" x14ac:dyDescent="0.3">
      <c r="A203" s="25">
        <f t="shared" si="19"/>
        <v>2006</v>
      </c>
      <c r="B203" s="25" t="s">
        <v>10</v>
      </c>
      <c r="C203" s="25" t="str">
        <f t="shared" si="20"/>
        <v>Herbst</v>
      </c>
      <c r="D203" s="25">
        <f>INDEX(Wetter!B:M,MATCH(A203,Wetter!A:A,0),MATCH(B203,Wetter!B$1:M$1,0))</f>
        <v>9.27</v>
      </c>
      <c r="E203" s="26">
        <v>5320</v>
      </c>
      <c r="F203" s="27">
        <v>4687</v>
      </c>
      <c r="G203" s="35">
        <f>_xlfn.XLOOKUP(A203,Bevölkerung!A:A,Bevölkerung!B:B)</f>
        <v>7508739</v>
      </c>
      <c r="H203" s="28">
        <f t="shared" si="21"/>
        <v>1602.0352037550672</v>
      </c>
      <c r="I203" s="24">
        <f t="shared" si="18"/>
        <v>436.81267474370918</v>
      </c>
      <c r="J203" s="32">
        <f t="shared" si="22"/>
        <v>1.1350544058032856</v>
      </c>
      <c r="K203" s="25">
        <f t="shared" si="23"/>
        <v>633</v>
      </c>
    </row>
    <row r="204" spans="1:11" x14ac:dyDescent="0.3">
      <c r="A204" s="25">
        <f t="shared" si="19"/>
        <v>2006</v>
      </c>
      <c r="B204" s="25" t="s">
        <v>11</v>
      </c>
      <c r="C204" s="25" t="str">
        <f t="shared" si="20"/>
        <v>Herbst</v>
      </c>
      <c r="D204" s="25">
        <f>INDEX(Wetter!B:M,MATCH(A204,Wetter!A:A,0),MATCH(B204,Wetter!B$1:M$1,0))</f>
        <v>3.71</v>
      </c>
      <c r="E204" s="26">
        <v>4998</v>
      </c>
      <c r="F204" s="27">
        <v>5028</v>
      </c>
      <c r="G204" s="35">
        <f>_xlfn.XLOOKUP(A204,Bevölkerung!A:A,Bevölkerung!B:B)</f>
        <v>7508739</v>
      </c>
      <c r="H204" s="28">
        <f t="shared" si="21"/>
        <v>1493.3848448687352</v>
      </c>
      <c r="I204" s="24">
        <f t="shared" si="18"/>
        <v>308.65561694290977</v>
      </c>
      <c r="J204" s="32">
        <f t="shared" si="22"/>
        <v>0.9940334128878282</v>
      </c>
      <c r="K204" s="25">
        <f t="shared" si="23"/>
        <v>-30</v>
      </c>
    </row>
    <row r="205" spans="1:11" x14ac:dyDescent="0.3">
      <c r="A205" s="25">
        <f t="shared" si="19"/>
        <v>2006</v>
      </c>
      <c r="B205" s="25" t="s">
        <v>12</v>
      </c>
      <c r="C205" s="25" t="str">
        <f t="shared" si="20"/>
        <v>Winter</v>
      </c>
      <c r="D205" s="25">
        <f>INDEX(Wetter!B:M,MATCH(A205,Wetter!A:A,0),MATCH(B205,Wetter!B$1:M$1,0))</f>
        <v>0.02</v>
      </c>
      <c r="E205" s="26">
        <v>5020</v>
      </c>
      <c r="F205" s="27">
        <v>5342</v>
      </c>
      <c r="G205" s="35">
        <f>_xlfn.XLOOKUP(A205,Bevölkerung!A:A,Bevölkerung!B:B)</f>
        <v>7508739</v>
      </c>
      <c r="H205" s="28">
        <f t="shared" si="21"/>
        <v>1405.6044552602023</v>
      </c>
      <c r="I205" s="24">
        <f t="shared" si="18"/>
        <v>267.36736736736736</v>
      </c>
      <c r="J205" s="32">
        <f t="shared" si="22"/>
        <v>0.93972295020591534</v>
      </c>
      <c r="K205" s="25">
        <f t="shared" si="23"/>
        <v>-322</v>
      </c>
    </row>
    <row r="206" spans="1:11" x14ac:dyDescent="0.3">
      <c r="A206" s="25">
        <f t="shared" si="19"/>
        <v>2007</v>
      </c>
      <c r="B206" s="25" t="s">
        <v>1</v>
      </c>
      <c r="C206" s="25" t="str">
        <f t="shared" si="20"/>
        <v>Winter</v>
      </c>
      <c r="D206" s="25">
        <f>INDEX(Wetter!B:M,MATCH(A206,Wetter!A:A,0),MATCH(B206,Wetter!B$1:M$1,0))</f>
        <v>0.38</v>
      </c>
      <c r="E206" s="26">
        <v>5003</v>
      </c>
      <c r="F206" s="27">
        <v>5409</v>
      </c>
      <c r="G206" s="35">
        <f>_xlfn.XLOOKUP(A206,Bevölkerung!A:A,Bevölkerung!B:B)</f>
        <v>7593494</v>
      </c>
      <c r="H206" s="28">
        <f t="shared" si="21"/>
        <v>1403.8628212238862</v>
      </c>
      <c r="I206" s="24">
        <f t="shared" si="18"/>
        <v>275.6880733944954</v>
      </c>
      <c r="J206" s="32">
        <f t="shared" si="22"/>
        <v>0.92493991495655392</v>
      </c>
      <c r="K206" s="25">
        <f t="shared" si="23"/>
        <v>-406</v>
      </c>
    </row>
    <row r="207" spans="1:11" x14ac:dyDescent="0.3">
      <c r="A207" s="25">
        <f t="shared" si="19"/>
        <v>2007</v>
      </c>
      <c r="B207" s="25" t="s">
        <v>2</v>
      </c>
      <c r="C207" s="25" t="str">
        <f t="shared" si="20"/>
        <v>Winter</v>
      </c>
      <c r="D207" s="25">
        <f>INDEX(Wetter!B:M,MATCH(A207,Wetter!A:A,0),MATCH(B207,Wetter!B$1:M$1,0))</f>
        <v>0.96</v>
      </c>
      <c r="E207" s="26">
        <v>4642</v>
      </c>
      <c r="F207" s="27">
        <v>4868</v>
      </c>
      <c r="G207" s="35">
        <f>_xlfn.XLOOKUP(A207,Bevölkerung!A:A,Bevölkerung!B:B)</f>
        <v>7593494</v>
      </c>
      <c r="H207" s="28">
        <f t="shared" si="21"/>
        <v>1559.879622021364</v>
      </c>
      <c r="I207" s="24">
        <f t="shared" si="18"/>
        <v>255.67226890756302</v>
      </c>
      <c r="J207" s="32">
        <f t="shared" si="22"/>
        <v>0.95357436318816757</v>
      </c>
      <c r="K207" s="25">
        <f t="shared" si="23"/>
        <v>-226</v>
      </c>
    </row>
    <row r="208" spans="1:11" x14ac:dyDescent="0.3">
      <c r="A208" s="25">
        <f t="shared" si="19"/>
        <v>2007</v>
      </c>
      <c r="B208" s="25" t="s">
        <v>3</v>
      </c>
      <c r="C208" s="25" t="str">
        <f t="shared" si="20"/>
        <v>Frühling</v>
      </c>
      <c r="D208" s="25">
        <f>INDEX(Wetter!B:M,MATCH(A208,Wetter!A:A,0),MATCH(B208,Wetter!B$1:M$1,0))</f>
        <v>1.31</v>
      </c>
      <c r="E208" s="26">
        <v>4984</v>
      </c>
      <c r="F208" s="27">
        <v>5180</v>
      </c>
      <c r="G208" s="35">
        <f>_xlfn.XLOOKUP(A208,Bevölkerung!A:A,Bevölkerung!B:B)</f>
        <v>7593494</v>
      </c>
      <c r="H208" s="28">
        <f t="shared" si="21"/>
        <v>1465.9254826254826</v>
      </c>
      <c r="I208" s="24">
        <f t="shared" si="18"/>
        <v>277.15355805243445</v>
      </c>
      <c r="J208" s="32">
        <f t="shared" si="22"/>
        <v>0.96216216216216222</v>
      </c>
      <c r="K208" s="25">
        <f t="shared" si="23"/>
        <v>-196</v>
      </c>
    </row>
    <row r="209" spans="1:11" x14ac:dyDescent="0.3">
      <c r="A209" s="25">
        <f t="shared" si="19"/>
        <v>2007</v>
      </c>
      <c r="B209" s="25" t="s">
        <v>4</v>
      </c>
      <c r="C209" s="25" t="str">
        <f t="shared" si="20"/>
        <v>Frühling</v>
      </c>
      <c r="D209" s="25">
        <f>INDEX(Wetter!B:M,MATCH(A209,Wetter!A:A,0),MATCH(B209,Wetter!B$1:M$1,0))</f>
        <v>8.9499999999999993</v>
      </c>
      <c r="E209" s="26">
        <v>4907</v>
      </c>
      <c r="F209" s="27">
        <v>4345</v>
      </c>
      <c r="G209" s="35">
        <f>_xlfn.XLOOKUP(A209,Bevölkerung!A:A,Bevölkerung!B:B)</f>
        <v>7593494</v>
      </c>
      <c r="H209" s="28">
        <f t="shared" si="21"/>
        <v>1747.639585730725</v>
      </c>
      <c r="I209" s="24">
        <f t="shared" si="18"/>
        <v>393.2126696832579</v>
      </c>
      <c r="J209" s="32">
        <f t="shared" si="22"/>
        <v>1.129344073647871</v>
      </c>
      <c r="K209" s="25">
        <f t="shared" si="23"/>
        <v>562</v>
      </c>
    </row>
    <row r="210" spans="1:11" x14ac:dyDescent="0.3">
      <c r="A210" s="25">
        <f t="shared" si="19"/>
        <v>2007</v>
      </c>
      <c r="B210" s="25" t="s">
        <v>5</v>
      </c>
      <c r="C210" s="25" t="str">
        <f t="shared" si="20"/>
        <v>Frühling</v>
      </c>
      <c r="D210" s="25">
        <f>INDEX(Wetter!B:M,MATCH(A210,Wetter!A:A,0),MATCH(B210,Wetter!B$1:M$1,0))</f>
        <v>9.6999999999999993</v>
      </c>
      <c r="E210" s="26">
        <v>5773</v>
      </c>
      <c r="F210" s="27">
        <v>4445</v>
      </c>
      <c r="G210" s="35">
        <f>_xlfn.XLOOKUP(A210,Bevölkerung!A:A,Bevölkerung!B:B)</f>
        <v>7593494</v>
      </c>
      <c r="H210" s="28">
        <f t="shared" si="21"/>
        <v>1708.3226096737908</v>
      </c>
      <c r="I210" s="24">
        <f t="shared" si="18"/>
        <v>431.55339805825241</v>
      </c>
      <c r="J210" s="32">
        <f t="shared" si="22"/>
        <v>1.2987626546681665</v>
      </c>
      <c r="K210" s="25">
        <f t="shared" si="23"/>
        <v>1328</v>
      </c>
    </row>
    <row r="211" spans="1:11" x14ac:dyDescent="0.3">
      <c r="A211" s="25">
        <f t="shared" si="19"/>
        <v>2007</v>
      </c>
      <c r="B211" s="25" t="s">
        <v>6</v>
      </c>
      <c r="C211" s="25" t="str">
        <f t="shared" si="20"/>
        <v>Sommer</v>
      </c>
      <c r="D211" s="25">
        <f>INDEX(Wetter!B:M,MATCH(A211,Wetter!A:A,0),MATCH(B211,Wetter!B$1:M$1,0))</f>
        <v>12.65</v>
      </c>
      <c r="E211" s="26">
        <v>6412</v>
      </c>
      <c r="F211" s="27">
        <v>4368</v>
      </c>
      <c r="G211" s="35">
        <f>_xlfn.XLOOKUP(A211,Bevölkerung!A:A,Bevölkerung!B:B)</f>
        <v>7593494</v>
      </c>
      <c r="H211" s="28">
        <f t="shared" si="21"/>
        <v>1738.4372710622711</v>
      </c>
      <c r="I211" s="24">
        <f t="shared" si="18"/>
        <v>594.28571428571433</v>
      </c>
      <c r="J211" s="32">
        <f t="shared" si="22"/>
        <v>1.4679487179487178</v>
      </c>
      <c r="K211" s="25">
        <f t="shared" si="23"/>
        <v>2044</v>
      </c>
    </row>
    <row r="212" spans="1:11" x14ac:dyDescent="0.3">
      <c r="A212" s="25">
        <f t="shared" si="19"/>
        <v>2007</v>
      </c>
      <c r="B212" s="25" t="s">
        <v>7</v>
      </c>
      <c r="C212" s="25" t="str">
        <f t="shared" si="20"/>
        <v>Sommer</v>
      </c>
      <c r="D212" s="25">
        <f>INDEX(Wetter!B:M,MATCH(A212,Wetter!A:A,0),MATCH(B212,Wetter!B$1:M$1,0))</f>
        <v>13.41</v>
      </c>
      <c r="E212" s="26">
        <v>7065</v>
      </c>
      <c r="F212" s="27">
        <v>4287</v>
      </c>
      <c r="G212" s="35">
        <f>_xlfn.XLOOKUP(A212,Bevölkerung!A:A,Bevölkerung!B:B)</f>
        <v>7593494</v>
      </c>
      <c r="H212" s="28">
        <f t="shared" si="21"/>
        <v>1771.283881502216</v>
      </c>
      <c r="I212" s="24">
        <f t="shared" si="18"/>
        <v>650.53110773899846</v>
      </c>
      <c r="J212" s="32">
        <f t="shared" si="22"/>
        <v>1.6480055983205038</v>
      </c>
      <c r="K212" s="25">
        <f t="shared" si="23"/>
        <v>2778</v>
      </c>
    </row>
    <row r="213" spans="1:11" x14ac:dyDescent="0.3">
      <c r="A213" s="25">
        <f t="shared" si="19"/>
        <v>2007</v>
      </c>
      <c r="B213" s="25" t="s">
        <v>8</v>
      </c>
      <c r="C213" s="25" t="str">
        <f t="shared" si="20"/>
        <v>Sommer</v>
      </c>
      <c r="D213" s="25">
        <f>INDEX(Wetter!B:M,MATCH(A213,Wetter!A:A,0),MATCH(B213,Wetter!B$1:M$1,0))</f>
        <v>12.88</v>
      </c>
      <c r="E213" s="26">
        <v>5892</v>
      </c>
      <c r="F213" s="27">
        <v>4342</v>
      </c>
      <c r="G213" s="35">
        <f>_xlfn.XLOOKUP(A213,Bevölkerung!A:A,Bevölkerung!B:B)</f>
        <v>7593494</v>
      </c>
      <c r="H213" s="28">
        <f t="shared" si="21"/>
        <v>1748.847075080608</v>
      </c>
      <c r="I213" s="24">
        <f t="shared" si="18"/>
        <v>609.83146067415737</v>
      </c>
      <c r="J213" s="32">
        <f t="shared" si="22"/>
        <v>1.356978350990327</v>
      </c>
      <c r="K213" s="25">
        <f t="shared" si="23"/>
        <v>1550</v>
      </c>
    </row>
    <row r="214" spans="1:11" x14ac:dyDescent="0.3">
      <c r="A214" s="25">
        <f t="shared" si="19"/>
        <v>2007</v>
      </c>
      <c r="B214" s="25" t="s">
        <v>9</v>
      </c>
      <c r="C214" s="25" t="str">
        <f t="shared" si="20"/>
        <v>Herbst</v>
      </c>
      <c r="D214" s="25">
        <f>INDEX(Wetter!B:M,MATCH(A214,Wetter!A:A,0),MATCH(B214,Wetter!B$1:M$1,0))</f>
        <v>8.91</v>
      </c>
      <c r="E214" s="26">
        <v>5582</v>
      </c>
      <c r="F214" s="27">
        <v>4466</v>
      </c>
      <c r="G214" s="35">
        <f>_xlfn.XLOOKUP(A214,Bevölkerung!A:A,Bevölkerung!B:B)</f>
        <v>7593494</v>
      </c>
      <c r="H214" s="28">
        <f t="shared" si="21"/>
        <v>1700.2897447380205</v>
      </c>
      <c r="I214" s="24">
        <f t="shared" si="18"/>
        <v>402.70513976555458</v>
      </c>
      <c r="J214" s="32">
        <f t="shared" si="22"/>
        <v>1.2498880429914914</v>
      </c>
      <c r="K214" s="25">
        <f t="shared" si="23"/>
        <v>1116</v>
      </c>
    </row>
    <row r="215" spans="1:11" x14ac:dyDescent="0.3">
      <c r="A215" s="25">
        <f t="shared" si="19"/>
        <v>2007</v>
      </c>
      <c r="B215" s="25" t="s">
        <v>10</v>
      </c>
      <c r="C215" s="25" t="str">
        <f t="shared" si="20"/>
        <v>Herbst</v>
      </c>
      <c r="D215" s="25">
        <f>INDEX(Wetter!B:M,MATCH(A215,Wetter!A:A,0),MATCH(B215,Wetter!B$1:M$1,0))</f>
        <v>5.97</v>
      </c>
      <c r="E215" s="26">
        <v>5572</v>
      </c>
      <c r="F215" s="27">
        <v>4884</v>
      </c>
      <c r="G215" s="35">
        <f>_xlfn.XLOOKUP(A215,Bevölkerung!A:A,Bevölkerung!B:B)</f>
        <v>7593494</v>
      </c>
      <c r="H215" s="28">
        <f t="shared" si="21"/>
        <v>1554.7694512694513</v>
      </c>
      <c r="I215" s="24">
        <f t="shared" si="18"/>
        <v>348.11119030648609</v>
      </c>
      <c r="J215" s="32">
        <f t="shared" si="22"/>
        <v>1.1408681408681409</v>
      </c>
      <c r="K215" s="25">
        <f t="shared" si="23"/>
        <v>688</v>
      </c>
    </row>
    <row r="216" spans="1:11" x14ac:dyDescent="0.3">
      <c r="A216" s="25">
        <f t="shared" si="19"/>
        <v>2007</v>
      </c>
      <c r="B216" s="25" t="s">
        <v>11</v>
      </c>
      <c r="C216" s="25" t="str">
        <f t="shared" si="20"/>
        <v>Herbst</v>
      </c>
      <c r="D216" s="25">
        <f>INDEX(Wetter!B:M,MATCH(A216,Wetter!A:A,0),MATCH(B216,Wetter!B$1:M$1,0))</f>
        <v>-0.09</v>
      </c>
      <c r="E216" s="26">
        <v>5030</v>
      </c>
      <c r="F216" s="27">
        <v>5325</v>
      </c>
      <c r="G216" s="35">
        <f>_xlfn.XLOOKUP(A216,Bevölkerung!A:A,Bevölkerung!B:B)</f>
        <v>7593494</v>
      </c>
      <c r="H216" s="28">
        <f t="shared" si="21"/>
        <v>1426.0082629107981</v>
      </c>
      <c r="I216" s="24">
        <f t="shared" si="18"/>
        <v>265.05724240915879</v>
      </c>
      <c r="J216" s="32">
        <f t="shared" si="22"/>
        <v>0.94460093896713615</v>
      </c>
      <c r="K216" s="25">
        <f t="shared" si="23"/>
        <v>-295</v>
      </c>
    </row>
    <row r="217" spans="1:11" x14ac:dyDescent="0.3">
      <c r="A217" s="25">
        <f t="shared" si="19"/>
        <v>2007</v>
      </c>
      <c r="B217" s="25" t="s">
        <v>12</v>
      </c>
      <c r="C217" s="25" t="str">
        <f t="shared" si="20"/>
        <v>Winter</v>
      </c>
      <c r="D217" s="25">
        <f>INDEX(Wetter!B:M,MATCH(A217,Wetter!A:A,0),MATCH(B217,Wetter!B$1:M$1,0))</f>
        <v>-2.29</v>
      </c>
      <c r="E217" s="26">
        <v>5054</v>
      </c>
      <c r="F217" s="27">
        <v>5513</v>
      </c>
      <c r="G217" s="35">
        <f>_xlfn.XLOOKUP(A217,Bevölkerung!A:A,Bevölkerung!B:B)</f>
        <v>7593494</v>
      </c>
      <c r="H217" s="28">
        <f t="shared" si="21"/>
        <v>1377.3796481044803</v>
      </c>
      <c r="I217" s="24">
        <f t="shared" si="18"/>
        <v>247.33064154329296</v>
      </c>
      <c r="J217" s="32">
        <f t="shared" si="22"/>
        <v>0.91674224560130602</v>
      </c>
      <c r="K217" s="25">
        <f t="shared" si="23"/>
        <v>-459</v>
      </c>
    </row>
    <row r="218" spans="1:11" x14ac:dyDescent="0.3">
      <c r="A218" s="25">
        <f t="shared" si="19"/>
        <v>2008</v>
      </c>
      <c r="B218" s="25" t="s">
        <v>1</v>
      </c>
      <c r="C218" s="25" t="str">
        <f t="shared" si="20"/>
        <v>Winter</v>
      </c>
      <c r="D218" s="25">
        <f>INDEX(Wetter!B:M,MATCH(A218,Wetter!A:A,0),MATCH(B218,Wetter!B$1:M$1,0))</f>
        <v>-0.19</v>
      </c>
      <c r="E218" s="26">
        <v>5067</v>
      </c>
      <c r="F218" s="27">
        <v>5604</v>
      </c>
      <c r="G218" s="35">
        <f>_xlfn.XLOOKUP(A218,Bevölkerung!A:A,Bevölkerung!B:B)</f>
        <v>7701856</v>
      </c>
      <c r="H218" s="28">
        <f t="shared" si="21"/>
        <v>1374.3497501784439</v>
      </c>
      <c r="I218" s="24">
        <f t="shared" si="18"/>
        <v>277.56315007429419</v>
      </c>
      <c r="J218" s="32">
        <f t="shared" si="22"/>
        <v>0.90417558886509641</v>
      </c>
      <c r="K218" s="25">
        <f t="shared" si="23"/>
        <v>-537</v>
      </c>
    </row>
    <row r="219" spans="1:11" x14ac:dyDescent="0.3">
      <c r="A219" s="25">
        <f t="shared" si="19"/>
        <v>2008</v>
      </c>
      <c r="B219" s="25" t="s">
        <v>2</v>
      </c>
      <c r="C219" s="25" t="str">
        <f t="shared" si="20"/>
        <v>Winter</v>
      </c>
      <c r="D219" s="25">
        <f>INDEX(Wetter!B:M,MATCH(A219,Wetter!A:A,0),MATCH(B219,Wetter!B$1:M$1,0))</f>
        <v>0.3</v>
      </c>
      <c r="E219" s="26">
        <v>4767</v>
      </c>
      <c r="F219" s="27">
        <v>5141</v>
      </c>
      <c r="G219" s="35">
        <f>_xlfn.XLOOKUP(A219,Bevölkerung!A:A,Bevölkerung!B:B)</f>
        <v>7701856</v>
      </c>
      <c r="H219" s="28">
        <f t="shared" si="21"/>
        <v>1498.1241003695779</v>
      </c>
      <c r="I219" s="24">
        <f t="shared" si="18"/>
        <v>260.96446700507613</v>
      </c>
      <c r="J219" s="32">
        <f t="shared" si="22"/>
        <v>0.92725150748881535</v>
      </c>
      <c r="K219" s="25">
        <f t="shared" si="23"/>
        <v>-374</v>
      </c>
    </row>
    <row r="220" spans="1:11" x14ac:dyDescent="0.3">
      <c r="A220" s="25">
        <f t="shared" si="19"/>
        <v>2008</v>
      </c>
      <c r="B220" s="25" t="s">
        <v>3</v>
      </c>
      <c r="C220" s="25" t="str">
        <f t="shared" si="20"/>
        <v>Frühling</v>
      </c>
      <c r="D220" s="25">
        <f>INDEX(Wetter!B:M,MATCH(A220,Wetter!A:A,0),MATCH(B220,Wetter!B$1:M$1,0))</f>
        <v>-0.11</v>
      </c>
      <c r="E220" s="26">
        <v>4954</v>
      </c>
      <c r="F220" s="27">
        <v>5227</v>
      </c>
      <c r="G220" s="35">
        <f>_xlfn.XLOOKUP(A220,Bevölkerung!A:A,Bevölkerung!B:B)</f>
        <v>7701856</v>
      </c>
      <c r="H220" s="28">
        <f t="shared" si="21"/>
        <v>1473.4754161086666</v>
      </c>
      <c r="I220" s="24">
        <f t="shared" si="18"/>
        <v>259.92043759323718</v>
      </c>
      <c r="J220" s="32">
        <f t="shared" si="22"/>
        <v>0.94777118806198579</v>
      </c>
      <c r="K220" s="25">
        <f t="shared" si="23"/>
        <v>-273</v>
      </c>
    </row>
    <row r="221" spans="1:11" x14ac:dyDescent="0.3">
      <c r="A221" s="25">
        <f t="shared" si="19"/>
        <v>2008</v>
      </c>
      <c r="B221" s="25" t="s">
        <v>4</v>
      </c>
      <c r="C221" s="25" t="str">
        <f t="shared" si="20"/>
        <v>Frühling</v>
      </c>
      <c r="D221" s="25">
        <f>INDEX(Wetter!B:M,MATCH(A221,Wetter!A:A,0),MATCH(B221,Wetter!B$1:M$1,0))</f>
        <v>3.17</v>
      </c>
      <c r="E221" s="26">
        <v>4893</v>
      </c>
      <c r="F221" s="27">
        <v>4866</v>
      </c>
      <c r="G221" s="35">
        <f>_xlfn.XLOOKUP(A221,Bevölkerung!A:A,Bevölkerung!B:B)</f>
        <v>7701856</v>
      </c>
      <c r="H221" s="28">
        <f t="shared" si="21"/>
        <v>1582.7899712289354</v>
      </c>
      <c r="I221" s="24">
        <f t="shared" si="18"/>
        <v>289.12655971479506</v>
      </c>
      <c r="J221" s="32">
        <f t="shared" si="22"/>
        <v>1.0055487053020962</v>
      </c>
      <c r="K221" s="25">
        <f t="shared" si="23"/>
        <v>27</v>
      </c>
    </row>
    <row r="222" spans="1:11" x14ac:dyDescent="0.3">
      <c r="A222" s="25">
        <f t="shared" si="19"/>
        <v>2008</v>
      </c>
      <c r="B222" s="25" t="s">
        <v>5</v>
      </c>
      <c r="C222" s="25" t="str">
        <f t="shared" si="20"/>
        <v>Frühling</v>
      </c>
      <c r="D222" s="25">
        <f>INDEX(Wetter!B:M,MATCH(A222,Wetter!A:A,0),MATCH(B222,Wetter!B$1:M$1,0))</f>
        <v>10.09</v>
      </c>
      <c r="E222" s="26">
        <v>6141</v>
      </c>
      <c r="F222" s="27">
        <v>4507</v>
      </c>
      <c r="G222" s="35">
        <f>_xlfn.XLOOKUP(A222,Bevölkerung!A:A,Bevölkerung!B:B)</f>
        <v>7701856</v>
      </c>
      <c r="H222" s="28">
        <f t="shared" si="21"/>
        <v>1708.8653206123806</v>
      </c>
      <c r="I222" s="24">
        <f t="shared" si="18"/>
        <v>454.79313824419779</v>
      </c>
      <c r="J222" s="32">
        <f t="shared" si="22"/>
        <v>1.3625471488795207</v>
      </c>
      <c r="K222" s="25">
        <f t="shared" si="23"/>
        <v>1634</v>
      </c>
    </row>
    <row r="223" spans="1:11" x14ac:dyDescent="0.3">
      <c r="A223" s="25">
        <f t="shared" si="19"/>
        <v>2008</v>
      </c>
      <c r="B223" s="25" t="s">
        <v>6</v>
      </c>
      <c r="C223" s="25" t="str">
        <f t="shared" si="20"/>
        <v>Sommer</v>
      </c>
      <c r="D223" s="25">
        <f>INDEX(Wetter!B:M,MATCH(A223,Wetter!A:A,0),MATCH(B223,Wetter!B$1:M$1,0))</f>
        <v>12.84</v>
      </c>
      <c r="E223" s="26">
        <v>6229</v>
      </c>
      <c r="F223" s="27">
        <v>4455</v>
      </c>
      <c r="G223" s="35">
        <f>_xlfn.XLOOKUP(A223,Bevölkerung!A:A,Bevölkerung!B:B)</f>
        <v>7701856</v>
      </c>
      <c r="H223" s="28">
        <f t="shared" si="21"/>
        <v>1728.8116722783388</v>
      </c>
      <c r="I223" s="24">
        <f t="shared" si="18"/>
        <v>622.20670391061446</v>
      </c>
      <c r="J223" s="32">
        <f t="shared" si="22"/>
        <v>1.3982042648709316</v>
      </c>
      <c r="K223" s="25">
        <f t="shared" si="23"/>
        <v>1774</v>
      </c>
    </row>
    <row r="224" spans="1:11" x14ac:dyDescent="0.3">
      <c r="A224" s="25">
        <f t="shared" si="19"/>
        <v>2008</v>
      </c>
      <c r="B224" s="25" t="s">
        <v>7</v>
      </c>
      <c r="C224" s="25" t="str">
        <f t="shared" si="20"/>
        <v>Sommer</v>
      </c>
      <c r="D224" s="25">
        <f>INDEX(Wetter!B:M,MATCH(A224,Wetter!A:A,0),MATCH(B224,Wetter!B$1:M$1,0))</f>
        <v>13.74</v>
      </c>
      <c r="E224" s="26">
        <v>6927</v>
      </c>
      <c r="F224" s="27">
        <v>4360</v>
      </c>
      <c r="G224" s="35">
        <f>_xlfn.XLOOKUP(A224,Bevölkerung!A:A,Bevölkerung!B:B)</f>
        <v>7701856</v>
      </c>
      <c r="H224" s="28">
        <f t="shared" si="21"/>
        <v>1766.4807339449542</v>
      </c>
      <c r="I224" s="24">
        <f t="shared" si="18"/>
        <v>696.48562300319486</v>
      </c>
      <c r="J224" s="32">
        <f t="shared" si="22"/>
        <v>1.5887614678899082</v>
      </c>
      <c r="K224" s="25">
        <f t="shared" si="23"/>
        <v>2567</v>
      </c>
    </row>
    <row r="225" spans="1:11" x14ac:dyDescent="0.3">
      <c r="A225" s="25">
        <f t="shared" si="19"/>
        <v>2008</v>
      </c>
      <c r="B225" s="25" t="s">
        <v>8</v>
      </c>
      <c r="C225" s="25" t="str">
        <f t="shared" si="20"/>
        <v>Sommer</v>
      </c>
      <c r="D225" s="25">
        <f>INDEX(Wetter!B:M,MATCH(A225,Wetter!A:A,0),MATCH(B225,Wetter!B$1:M$1,0))</f>
        <v>13.71</v>
      </c>
      <c r="E225" s="26">
        <v>5504</v>
      </c>
      <c r="F225" s="27">
        <v>4351</v>
      </c>
      <c r="G225" s="35">
        <f>_xlfn.XLOOKUP(A225,Bevölkerung!A:A,Bevölkerung!B:B)</f>
        <v>7701856</v>
      </c>
      <c r="H225" s="28">
        <f t="shared" si="21"/>
        <v>1770.1346816823718</v>
      </c>
      <c r="I225" s="24">
        <f t="shared" si="18"/>
        <v>691.73290937996831</v>
      </c>
      <c r="J225" s="32">
        <f t="shared" si="22"/>
        <v>1.2649965525166629</v>
      </c>
      <c r="K225" s="25">
        <f t="shared" si="23"/>
        <v>1153</v>
      </c>
    </row>
    <row r="226" spans="1:11" x14ac:dyDescent="0.3">
      <c r="A226" s="25">
        <f t="shared" si="19"/>
        <v>2008</v>
      </c>
      <c r="B226" s="25" t="s">
        <v>9</v>
      </c>
      <c r="C226" s="25" t="str">
        <f t="shared" si="20"/>
        <v>Herbst</v>
      </c>
      <c r="D226" s="25">
        <f>INDEX(Wetter!B:M,MATCH(A226,Wetter!A:A,0),MATCH(B226,Wetter!B$1:M$1,0))</f>
        <v>8.8000000000000007</v>
      </c>
      <c r="E226" s="26">
        <v>6811</v>
      </c>
      <c r="F226" s="27">
        <v>4604</v>
      </c>
      <c r="G226" s="35">
        <f>_xlfn.XLOOKUP(A226,Bevölkerung!A:A,Bevölkerung!B:B)</f>
        <v>7701856</v>
      </c>
      <c r="H226" s="28">
        <f t="shared" si="21"/>
        <v>1672.8618592528237</v>
      </c>
      <c r="I226" s="24">
        <f t="shared" si="18"/>
        <v>411.07142857142861</v>
      </c>
      <c r="J226" s="32">
        <f t="shared" si="22"/>
        <v>1.4793657688966115</v>
      </c>
      <c r="K226" s="25">
        <f t="shared" si="23"/>
        <v>2207</v>
      </c>
    </row>
    <row r="227" spans="1:11" x14ac:dyDescent="0.3">
      <c r="A227" s="25">
        <f t="shared" si="19"/>
        <v>2008</v>
      </c>
      <c r="B227" s="25" t="s">
        <v>10</v>
      </c>
      <c r="C227" s="25" t="str">
        <f t="shared" si="20"/>
        <v>Herbst</v>
      </c>
      <c r="D227" s="25">
        <f>INDEX(Wetter!B:M,MATCH(A227,Wetter!A:A,0),MATCH(B227,Wetter!B$1:M$1,0))</f>
        <v>6.59</v>
      </c>
      <c r="E227" s="26">
        <v>5241</v>
      </c>
      <c r="F227" s="27">
        <v>4908</v>
      </c>
      <c r="G227" s="35">
        <f>_xlfn.XLOOKUP(A227,Bevölkerung!A:A,Bevölkerung!B:B)</f>
        <v>7701856</v>
      </c>
      <c r="H227" s="28">
        <f t="shared" si="21"/>
        <v>1569.2453137734312</v>
      </c>
      <c r="I227" s="24">
        <f t="shared" si="18"/>
        <v>365.99552572706932</v>
      </c>
      <c r="J227" s="32">
        <f t="shared" si="22"/>
        <v>1.0678484107579462</v>
      </c>
      <c r="K227" s="25">
        <f t="shared" si="23"/>
        <v>333</v>
      </c>
    </row>
    <row r="228" spans="1:11" x14ac:dyDescent="0.3">
      <c r="A228" s="25">
        <f t="shared" si="19"/>
        <v>2008</v>
      </c>
      <c r="B228" s="25" t="s">
        <v>11</v>
      </c>
      <c r="C228" s="25" t="str">
        <f t="shared" si="20"/>
        <v>Herbst</v>
      </c>
      <c r="D228" s="25">
        <f>INDEX(Wetter!B:M,MATCH(A228,Wetter!A:A,0),MATCH(B228,Wetter!B$1:M$1,0))</f>
        <v>0.94</v>
      </c>
      <c r="E228" s="26">
        <v>5271</v>
      </c>
      <c r="F228" s="27">
        <v>5176</v>
      </c>
      <c r="G228" s="35">
        <f>_xlfn.XLOOKUP(A228,Bevölkerung!A:A,Bevölkerung!B:B)</f>
        <v>7701856</v>
      </c>
      <c r="H228" s="28">
        <f t="shared" si="21"/>
        <v>1487.9938176197836</v>
      </c>
      <c r="I228" s="24">
        <f t="shared" si="18"/>
        <v>271.56348373557188</v>
      </c>
      <c r="J228" s="32">
        <f t="shared" si="22"/>
        <v>1.0183539412673879</v>
      </c>
      <c r="K228" s="25">
        <f t="shared" si="23"/>
        <v>95</v>
      </c>
    </row>
    <row r="229" spans="1:11" x14ac:dyDescent="0.3">
      <c r="A229" s="25">
        <f t="shared" si="19"/>
        <v>2008</v>
      </c>
      <c r="B229" s="25" t="s">
        <v>12</v>
      </c>
      <c r="C229" s="25" t="str">
        <f t="shared" si="20"/>
        <v>Winter</v>
      </c>
      <c r="D229" s="25">
        <f>INDEX(Wetter!B:M,MATCH(A229,Wetter!A:A,0),MATCH(B229,Wetter!B$1:M$1,0))</f>
        <v>-2.52</v>
      </c>
      <c r="E229" s="26">
        <v>5162</v>
      </c>
      <c r="F229" s="27">
        <v>5530</v>
      </c>
      <c r="G229" s="35">
        <f>_xlfn.XLOOKUP(A229,Bevölkerung!A:A,Bevölkerung!B:B)</f>
        <v>7701856</v>
      </c>
      <c r="H229" s="28">
        <f t="shared" si="21"/>
        <v>1392.7406871609403</v>
      </c>
      <c r="I229" s="24">
        <f t="shared" si="18"/>
        <v>245.55950266429841</v>
      </c>
      <c r="J229" s="32">
        <f t="shared" si="22"/>
        <v>0.93345388788426764</v>
      </c>
      <c r="K229" s="25">
        <f t="shared" si="23"/>
        <v>-368</v>
      </c>
    </row>
    <row r="230" spans="1:11" x14ac:dyDescent="0.3">
      <c r="A230" s="25">
        <f t="shared" si="19"/>
        <v>2009</v>
      </c>
      <c r="B230" s="25" t="s">
        <v>1</v>
      </c>
      <c r="C230" s="25" t="str">
        <f t="shared" si="20"/>
        <v>Winter</v>
      </c>
      <c r="D230" s="25">
        <f>INDEX(Wetter!B:M,MATCH(A230,Wetter!A:A,0),MATCH(B230,Wetter!B$1:M$1,0))</f>
        <v>-4.45</v>
      </c>
      <c r="E230" s="26">
        <v>5385</v>
      </c>
      <c r="F230" s="27">
        <v>5856</v>
      </c>
      <c r="G230" s="35">
        <f>_xlfn.XLOOKUP(A230,Bevölkerung!A:A,Bevölkerung!B:B)</f>
        <v>7785806</v>
      </c>
      <c r="H230" s="28">
        <f t="shared" si="21"/>
        <v>1329.5433743169399</v>
      </c>
      <c r="I230" s="24">
        <f t="shared" si="18"/>
        <v>239.50920245398774</v>
      </c>
      <c r="J230" s="32">
        <f t="shared" si="22"/>
        <v>0.91956967213114749</v>
      </c>
      <c r="K230" s="25">
        <f t="shared" si="23"/>
        <v>-471</v>
      </c>
    </row>
    <row r="231" spans="1:11" x14ac:dyDescent="0.3">
      <c r="A231" s="25">
        <f t="shared" si="19"/>
        <v>2009</v>
      </c>
      <c r="B231" s="25" t="s">
        <v>2</v>
      </c>
      <c r="C231" s="25" t="str">
        <f t="shared" si="20"/>
        <v>Winter</v>
      </c>
      <c r="D231" s="25">
        <f>INDEX(Wetter!B:M,MATCH(A231,Wetter!A:A,0),MATCH(B231,Wetter!B$1:M$1,0))</f>
        <v>-3.43</v>
      </c>
      <c r="E231" s="26">
        <v>4672</v>
      </c>
      <c r="F231" s="27">
        <v>5131</v>
      </c>
      <c r="G231" s="35">
        <f>_xlfn.XLOOKUP(A231,Bevölkerung!A:A,Bevölkerung!B:B)</f>
        <v>7785806</v>
      </c>
      <c r="H231" s="28">
        <f t="shared" si="21"/>
        <v>1517.4051841746248</v>
      </c>
      <c r="I231" s="24">
        <f t="shared" si="18"/>
        <v>218.99274434485702</v>
      </c>
      <c r="J231" s="32">
        <f t="shared" si="22"/>
        <v>0.91054375365425844</v>
      </c>
      <c r="K231" s="25">
        <f t="shared" si="23"/>
        <v>-459</v>
      </c>
    </row>
    <row r="232" spans="1:11" x14ac:dyDescent="0.3">
      <c r="A232" s="25">
        <f t="shared" si="19"/>
        <v>2009</v>
      </c>
      <c r="B232" s="25" t="s">
        <v>3</v>
      </c>
      <c r="C232" s="25" t="str">
        <f t="shared" si="20"/>
        <v>Frühling</v>
      </c>
      <c r="D232" s="25">
        <f>INDEX(Wetter!B:M,MATCH(A232,Wetter!A:A,0),MATCH(B232,Wetter!B$1:M$1,0))</f>
        <v>0.01</v>
      </c>
      <c r="E232" s="26">
        <v>5076</v>
      </c>
      <c r="F232" s="27">
        <v>5232</v>
      </c>
      <c r="G232" s="35">
        <f>_xlfn.XLOOKUP(A232,Bevölkerung!A:A,Bevölkerung!B:B)</f>
        <v>7785806</v>
      </c>
      <c r="H232" s="28">
        <f t="shared" si="21"/>
        <v>1488.1127675840978</v>
      </c>
      <c r="I232" s="24">
        <f t="shared" si="18"/>
        <v>261.73086543271637</v>
      </c>
      <c r="J232" s="32">
        <f t="shared" si="22"/>
        <v>0.97018348623853212</v>
      </c>
      <c r="K232" s="25">
        <f t="shared" si="23"/>
        <v>-156</v>
      </c>
    </row>
    <row r="233" spans="1:11" x14ac:dyDescent="0.3">
      <c r="A233" s="25">
        <f t="shared" si="19"/>
        <v>2009</v>
      </c>
      <c r="B233" s="25" t="s">
        <v>4</v>
      </c>
      <c r="C233" s="25" t="str">
        <f t="shared" si="20"/>
        <v>Frühling</v>
      </c>
      <c r="D233" s="25">
        <f>INDEX(Wetter!B:M,MATCH(A233,Wetter!A:A,0),MATCH(B233,Wetter!B$1:M$1,0))</f>
        <v>6.3</v>
      </c>
      <c r="E233" s="26">
        <v>5487</v>
      </c>
      <c r="F233" s="27">
        <v>4321</v>
      </c>
      <c r="G233" s="35">
        <f>_xlfn.XLOOKUP(A233,Bevölkerung!A:A,Bevölkerung!B:B)</f>
        <v>7785806</v>
      </c>
      <c r="H233" s="28">
        <f t="shared" si="21"/>
        <v>1801.852811849109</v>
      </c>
      <c r="I233" s="24">
        <f t="shared" si="18"/>
        <v>315.4014598540146</v>
      </c>
      <c r="J233" s="32">
        <f t="shared" si="22"/>
        <v>1.269844943300162</v>
      </c>
      <c r="K233" s="25">
        <f t="shared" si="23"/>
        <v>1166</v>
      </c>
    </row>
    <row r="234" spans="1:11" x14ac:dyDescent="0.3">
      <c r="A234" s="25">
        <f t="shared" si="19"/>
        <v>2009</v>
      </c>
      <c r="B234" s="25" t="s">
        <v>5</v>
      </c>
      <c r="C234" s="25" t="str">
        <f t="shared" si="20"/>
        <v>Frühling</v>
      </c>
      <c r="D234" s="25">
        <f>INDEX(Wetter!B:M,MATCH(A234,Wetter!A:A,0),MATCH(B234,Wetter!B$1:M$1,0))</f>
        <v>10.82</v>
      </c>
      <c r="E234" s="26">
        <v>6515</v>
      </c>
      <c r="F234" s="27">
        <v>4304</v>
      </c>
      <c r="G234" s="35">
        <f>_xlfn.XLOOKUP(A234,Bevölkerung!A:A,Bevölkerung!B:B)</f>
        <v>7785806</v>
      </c>
      <c r="H234" s="28">
        <f t="shared" si="21"/>
        <v>1808.9697955390334</v>
      </c>
      <c r="I234" s="24">
        <f t="shared" si="18"/>
        <v>468.84531590413945</v>
      </c>
      <c r="J234" s="32">
        <f t="shared" si="22"/>
        <v>1.5137081784386617</v>
      </c>
      <c r="K234" s="25">
        <f t="shared" si="23"/>
        <v>2211</v>
      </c>
    </row>
    <row r="235" spans="1:11" x14ac:dyDescent="0.3">
      <c r="A235" s="25">
        <f t="shared" si="19"/>
        <v>2009</v>
      </c>
      <c r="B235" s="25" t="s">
        <v>6</v>
      </c>
      <c r="C235" s="25" t="str">
        <f t="shared" si="20"/>
        <v>Sommer</v>
      </c>
      <c r="D235" s="25">
        <f>INDEX(Wetter!B:M,MATCH(A235,Wetter!A:A,0),MATCH(B235,Wetter!B$1:M$1,0))</f>
        <v>11.99</v>
      </c>
      <c r="E235" s="26">
        <v>6336</v>
      </c>
      <c r="F235" s="27">
        <v>4250</v>
      </c>
      <c r="G235" s="35">
        <f>_xlfn.XLOOKUP(A235,Bevölkerung!A:A,Bevölkerung!B:B)</f>
        <v>7785806</v>
      </c>
      <c r="H235" s="28">
        <f t="shared" si="21"/>
        <v>1831.9543529411765</v>
      </c>
      <c r="I235" s="24">
        <f t="shared" si="18"/>
        <v>530.58676654182273</v>
      </c>
      <c r="J235" s="32">
        <f t="shared" si="22"/>
        <v>1.4908235294117647</v>
      </c>
      <c r="K235" s="25">
        <f t="shared" si="23"/>
        <v>2086</v>
      </c>
    </row>
    <row r="236" spans="1:11" x14ac:dyDescent="0.3">
      <c r="A236" s="25">
        <f t="shared" si="19"/>
        <v>2009</v>
      </c>
      <c r="B236" s="25" t="s">
        <v>7</v>
      </c>
      <c r="C236" s="25" t="str">
        <f t="shared" si="20"/>
        <v>Sommer</v>
      </c>
      <c r="D236" s="25">
        <f>INDEX(Wetter!B:M,MATCH(A236,Wetter!A:A,0),MATCH(B236,Wetter!B$1:M$1,0))</f>
        <v>14.38</v>
      </c>
      <c r="E236" s="26">
        <v>7236</v>
      </c>
      <c r="F236" s="27">
        <v>4260</v>
      </c>
      <c r="G236" s="35">
        <f>_xlfn.XLOOKUP(A236,Bevölkerung!A:A,Bevölkerung!B:B)</f>
        <v>7785806</v>
      </c>
      <c r="H236" s="28">
        <f t="shared" si="21"/>
        <v>1827.6539906103287</v>
      </c>
      <c r="I236" s="24">
        <f t="shared" si="18"/>
        <v>758.00711743772251</v>
      </c>
      <c r="J236" s="32">
        <f t="shared" si="22"/>
        <v>1.6985915492957746</v>
      </c>
      <c r="K236" s="25">
        <f t="shared" si="23"/>
        <v>2976</v>
      </c>
    </row>
    <row r="237" spans="1:11" x14ac:dyDescent="0.3">
      <c r="A237" s="25">
        <f t="shared" si="19"/>
        <v>2009</v>
      </c>
      <c r="B237" s="25" t="s">
        <v>8</v>
      </c>
      <c r="C237" s="25" t="str">
        <f t="shared" si="20"/>
        <v>Sommer</v>
      </c>
      <c r="D237" s="25">
        <f>INDEX(Wetter!B:M,MATCH(A237,Wetter!A:A,0),MATCH(B237,Wetter!B$1:M$1,0))</f>
        <v>15.72</v>
      </c>
      <c r="E237" s="26">
        <v>5922</v>
      </c>
      <c r="F237" s="27">
        <v>4290</v>
      </c>
      <c r="G237" s="35">
        <f>_xlfn.XLOOKUP(A237,Bevölkerung!A:A,Bevölkerung!B:B)</f>
        <v>7785806</v>
      </c>
      <c r="H237" s="28">
        <f t="shared" si="21"/>
        <v>1814.8731934731934</v>
      </c>
      <c r="I237" s="24">
        <f t="shared" si="18"/>
        <v>1002.336448598131</v>
      </c>
      <c r="J237" s="32">
        <f t="shared" si="22"/>
        <v>1.3804195804195805</v>
      </c>
      <c r="K237" s="25">
        <f t="shared" si="23"/>
        <v>1632</v>
      </c>
    </row>
    <row r="238" spans="1:11" x14ac:dyDescent="0.3">
      <c r="A238" s="25">
        <f t="shared" si="19"/>
        <v>2009</v>
      </c>
      <c r="B238" s="25" t="s">
        <v>9</v>
      </c>
      <c r="C238" s="25" t="str">
        <f t="shared" si="20"/>
        <v>Herbst</v>
      </c>
      <c r="D238" s="25">
        <f>INDEX(Wetter!B:M,MATCH(A238,Wetter!A:A,0),MATCH(B238,Wetter!B$1:M$1,0))</f>
        <v>11.72</v>
      </c>
      <c r="E238" s="26">
        <v>5243</v>
      </c>
      <c r="F238" s="27">
        <v>4428</v>
      </c>
      <c r="G238" s="35">
        <f>_xlfn.XLOOKUP(A238,Bevölkerung!A:A,Bevölkerung!B:B)</f>
        <v>7785806</v>
      </c>
      <c r="H238" s="28">
        <f t="shared" si="21"/>
        <v>1758.3121047877146</v>
      </c>
      <c r="I238" s="24">
        <f t="shared" si="18"/>
        <v>534.78260869565224</v>
      </c>
      <c r="J238" s="32">
        <f t="shared" si="22"/>
        <v>1.184056007226739</v>
      </c>
      <c r="K238" s="25">
        <f t="shared" si="23"/>
        <v>815</v>
      </c>
    </row>
    <row r="239" spans="1:11" x14ac:dyDescent="0.3">
      <c r="A239" s="25">
        <f t="shared" si="19"/>
        <v>2009</v>
      </c>
      <c r="B239" s="25" t="s">
        <v>10</v>
      </c>
      <c r="C239" s="25" t="str">
        <f t="shared" si="20"/>
        <v>Herbst</v>
      </c>
      <c r="D239" s="25">
        <f>INDEX(Wetter!B:M,MATCH(A239,Wetter!A:A,0),MATCH(B239,Wetter!B$1:M$1,0))</f>
        <v>6.06</v>
      </c>
      <c r="E239" s="26">
        <v>5031</v>
      </c>
      <c r="F239" s="27">
        <v>4824</v>
      </c>
      <c r="G239" s="35">
        <f>_xlfn.XLOOKUP(A239,Bevölkerung!A:A,Bevölkerung!B:B)</f>
        <v>7785806</v>
      </c>
      <c r="H239" s="28">
        <f t="shared" si="21"/>
        <v>1613.9730514096186</v>
      </c>
      <c r="I239" s="24">
        <f t="shared" si="18"/>
        <v>346.05451936872305</v>
      </c>
      <c r="J239" s="32">
        <f t="shared" si="22"/>
        <v>1.0429104477611941</v>
      </c>
      <c r="K239" s="25">
        <f t="shared" si="23"/>
        <v>207</v>
      </c>
    </row>
    <row r="240" spans="1:11" x14ac:dyDescent="0.3">
      <c r="A240" s="25">
        <f t="shared" si="19"/>
        <v>2009</v>
      </c>
      <c r="B240" s="25" t="s">
        <v>11</v>
      </c>
      <c r="C240" s="25" t="str">
        <f t="shared" si="20"/>
        <v>Herbst</v>
      </c>
      <c r="D240" s="25">
        <f>INDEX(Wetter!B:M,MATCH(A240,Wetter!A:A,0),MATCH(B240,Wetter!B$1:M$1,0))</f>
        <v>3.38</v>
      </c>
      <c r="E240" s="26">
        <v>4581</v>
      </c>
      <c r="F240" s="27">
        <v>5062</v>
      </c>
      <c r="G240" s="35">
        <f>_xlfn.XLOOKUP(A240,Bevölkerung!A:A,Bevölkerung!B:B)</f>
        <v>7785806</v>
      </c>
      <c r="H240" s="28">
        <f t="shared" si="21"/>
        <v>1538.0888976689055</v>
      </c>
      <c r="I240" s="24">
        <f t="shared" si="18"/>
        <v>304.57280385078218</v>
      </c>
      <c r="J240" s="32">
        <f t="shared" si="22"/>
        <v>0.90497826945871196</v>
      </c>
      <c r="K240" s="25">
        <f t="shared" si="23"/>
        <v>-481</v>
      </c>
    </row>
    <row r="241" spans="1:11" x14ac:dyDescent="0.3">
      <c r="A241" s="25">
        <f t="shared" si="19"/>
        <v>2009</v>
      </c>
      <c r="B241" s="25" t="s">
        <v>12</v>
      </c>
      <c r="C241" s="25" t="str">
        <f t="shared" si="20"/>
        <v>Winter</v>
      </c>
      <c r="D241" s="25">
        <f>INDEX(Wetter!B:M,MATCH(A241,Wetter!A:A,0),MATCH(B241,Wetter!B$1:M$1,0))</f>
        <v>-2.89</v>
      </c>
      <c r="E241" s="26">
        <v>5010</v>
      </c>
      <c r="F241" s="27">
        <v>5536</v>
      </c>
      <c r="G241" s="35">
        <f>_xlfn.XLOOKUP(A241,Bevölkerung!A:A,Bevölkerung!B:B)</f>
        <v>7785806</v>
      </c>
      <c r="H241" s="28">
        <f t="shared" si="21"/>
        <v>1406.3955924855491</v>
      </c>
      <c r="I241" s="24">
        <f t="shared" si="18"/>
        <v>241.85233726518129</v>
      </c>
      <c r="J241" s="32">
        <f t="shared" si="22"/>
        <v>0.90498554913294793</v>
      </c>
      <c r="K241" s="25">
        <f t="shared" si="23"/>
        <v>-526</v>
      </c>
    </row>
    <row r="242" spans="1:11" x14ac:dyDescent="0.3">
      <c r="A242" s="25">
        <f t="shared" si="19"/>
        <v>2010</v>
      </c>
      <c r="B242" s="25" t="s">
        <v>1</v>
      </c>
      <c r="C242" s="25" t="str">
        <f t="shared" si="20"/>
        <v>Winter</v>
      </c>
      <c r="D242" s="25">
        <f>INDEX(Wetter!B:M,MATCH(A242,Wetter!A:A,0),MATCH(B242,Wetter!B$1:M$1,0))</f>
        <v>-5.17</v>
      </c>
      <c r="E242" s="26">
        <v>5554</v>
      </c>
      <c r="F242" s="27">
        <v>5850</v>
      </c>
      <c r="G242" s="35">
        <f>_xlfn.XLOOKUP(A242,Bevölkerung!A:A,Bevölkerung!B:B)</f>
        <v>7870134</v>
      </c>
      <c r="H242" s="28">
        <f t="shared" si="21"/>
        <v>1345.3220512820512</v>
      </c>
      <c r="I242" s="24">
        <f t="shared" si="18"/>
        <v>232.41954707985695</v>
      </c>
      <c r="J242" s="32">
        <f t="shared" si="22"/>
        <v>0.94940170940170943</v>
      </c>
      <c r="K242" s="25">
        <f t="shared" si="23"/>
        <v>-296</v>
      </c>
    </row>
    <row r="243" spans="1:11" x14ac:dyDescent="0.3">
      <c r="A243" s="25">
        <f t="shared" si="19"/>
        <v>2010</v>
      </c>
      <c r="B243" s="25" t="s">
        <v>2</v>
      </c>
      <c r="C243" s="25" t="str">
        <f t="shared" si="20"/>
        <v>Winter</v>
      </c>
      <c r="D243" s="25">
        <f>INDEX(Wetter!B:M,MATCH(A243,Wetter!A:A,0),MATCH(B243,Wetter!B$1:M$1,0))</f>
        <v>-3.34</v>
      </c>
      <c r="E243" s="26">
        <v>4895</v>
      </c>
      <c r="F243" s="27">
        <v>5229</v>
      </c>
      <c r="G243" s="35">
        <f>_xlfn.XLOOKUP(A243,Bevölkerung!A:A,Bevölkerung!B:B)</f>
        <v>7870134</v>
      </c>
      <c r="H243" s="28">
        <f t="shared" si="21"/>
        <v>1505.0935169248423</v>
      </c>
      <c r="I243" s="24">
        <f t="shared" si="18"/>
        <v>224.03598971722366</v>
      </c>
      <c r="J243" s="32">
        <f t="shared" si="22"/>
        <v>0.9361254541977434</v>
      </c>
      <c r="K243" s="25">
        <f t="shared" si="23"/>
        <v>-334</v>
      </c>
    </row>
    <row r="244" spans="1:11" x14ac:dyDescent="0.3">
      <c r="A244" s="25">
        <f t="shared" si="19"/>
        <v>2010</v>
      </c>
      <c r="B244" s="25" t="s">
        <v>3</v>
      </c>
      <c r="C244" s="25" t="str">
        <f t="shared" si="20"/>
        <v>Frühling</v>
      </c>
      <c r="D244" s="25">
        <f>INDEX(Wetter!B:M,MATCH(A244,Wetter!A:A,0),MATCH(B244,Wetter!B$1:M$1,0))</f>
        <v>-0.12</v>
      </c>
      <c r="E244" s="26">
        <v>5036</v>
      </c>
      <c r="F244" s="27">
        <v>5462</v>
      </c>
      <c r="G244" s="35">
        <f>_xlfn.XLOOKUP(A244,Bevölkerung!A:A,Bevölkerung!B:B)</f>
        <v>7870134</v>
      </c>
      <c r="H244" s="28">
        <f t="shared" si="21"/>
        <v>1440.8886854632003</v>
      </c>
      <c r="I244" s="24">
        <f t="shared" si="18"/>
        <v>271.4711729622266</v>
      </c>
      <c r="J244" s="32">
        <f t="shared" si="22"/>
        <v>0.92200659099231053</v>
      </c>
      <c r="K244" s="25">
        <f t="shared" si="23"/>
        <v>-426</v>
      </c>
    </row>
    <row r="245" spans="1:11" x14ac:dyDescent="0.3">
      <c r="A245" s="25">
        <f t="shared" si="19"/>
        <v>2010</v>
      </c>
      <c r="B245" s="25" t="s">
        <v>4</v>
      </c>
      <c r="C245" s="25" t="str">
        <f t="shared" si="20"/>
        <v>Frühling</v>
      </c>
      <c r="D245" s="25">
        <f>INDEX(Wetter!B:M,MATCH(A245,Wetter!A:A,0),MATCH(B245,Wetter!B$1:M$1,0))</f>
        <v>5.1100000000000003</v>
      </c>
      <c r="E245" s="26">
        <v>4738</v>
      </c>
      <c r="F245" s="27">
        <v>4615</v>
      </c>
      <c r="G245" s="35">
        <f>_xlfn.XLOOKUP(A245,Bevölkerung!A:A,Bevölkerung!B:B)</f>
        <v>7870134</v>
      </c>
      <c r="H245" s="28">
        <f t="shared" si="21"/>
        <v>1705.3378114842903</v>
      </c>
      <c r="I245" s="24">
        <f t="shared" si="18"/>
        <v>309.93955674949632</v>
      </c>
      <c r="J245" s="32">
        <f t="shared" si="22"/>
        <v>1.0266522210184181</v>
      </c>
      <c r="K245" s="25">
        <f t="shared" si="23"/>
        <v>123</v>
      </c>
    </row>
    <row r="246" spans="1:11" x14ac:dyDescent="0.3">
      <c r="A246" s="25">
        <f t="shared" si="19"/>
        <v>2010</v>
      </c>
      <c r="B246" s="25" t="s">
        <v>5</v>
      </c>
      <c r="C246" s="25" t="str">
        <f t="shared" si="20"/>
        <v>Frühling</v>
      </c>
      <c r="D246" s="25">
        <f>INDEX(Wetter!B:M,MATCH(A246,Wetter!A:A,0),MATCH(B246,Wetter!B$1:M$1,0))</f>
        <v>7.07</v>
      </c>
      <c r="E246" s="26">
        <v>5893</v>
      </c>
      <c r="F246" s="27">
        <v>4592</v>
      </c>
      <c r="G246" s="35">
        <f>_xlfn.XLOOKUP(A246,Bevölkerung!A:A,Bevölkerung!B:B)</f>
        <v>7870134</v>
      </c>
      <c r="H246" s="28">
        <f t="shared" si="21"/>
        <v>1713.8793554006968</v>
      </c>
      <c r="I246" s="24">
        <f t="shared" si="18"/>
        <v>355.1430781129157</v>
      </c>
      <c r="J246" s="32">
        <f t="shared" si="22"/>
        <v>1.2833188153310104</v>
      </c>
      <c r="K246" s="25">
        <f t="shared" si="23"/>
        <v>1301</v>
      </c>
    </row>
    <row r="247" spans="1:11" x14ac:dyDescent="0.3">
      <c r="A247" s="25">
        <f t="shared" si="19"/>
        <v>2010</v>
      </c>
      <c r="B247" s="25" t="s">
        <v>6</v>
      </c>
      <c r="C247" s="25" t="str">
        <f t="shared" si="20"/>
        <v>Sommer</v>
      </c>
      <c r="D247" s="25">
        <f>INDEX(Wetter!B:M,MATCH(A247,Wetter!A:A,0),MATCH(B247,Wetter!B$1:M$1,0))</f>
        <v>12.33</v>
      </c>
      <c r="E247" s="26">
        <v>6186</v>
      </c>
      <c r="F247" s="27">
        <v>4463</v>
      </c>
      <c r="G247" s="35">
        <f>_xlfn.XLOOKUP(A247,Bevölkerung!A:A,Bevölkerung!B:B)</f>
        <v>7870134</v>
      </c>
      <c r="H247" s="28">
        <f t="shared" si="21"/>
        <v>1763.4178803495406</v>
      </c>
      <c r="I247" s="24">
        <f t="shared" si="18"/>
        <v>581.87744458930899</v>
      </c>
      <c r="J247" s="32">
        <f t="shared" si="22"/>
        <v>1.3860631861976249</v>
      </c>
      <c r="K247" s="25">
        <f t="shared" si="23"/>
        <v>1723</v>
      </c>
    </row>
    <row r="248" spans="1:11" x14ac:dyDescent="0.3">
      <c r="A248" s="25">
        <f t="shared" si="19"/>
        <v>2010</v>
      </c>
      <c r="B248" s="25" t="s">
        <v>7</v>
      </c>
      <c r="C248" s="25" t="str">
        <f t="shared" si="20"/>
        <v>Sommer</v>
      </c>
      <c r="D248" s="25">
        <f>INDEX(Wetter!B:M,MATCH(A248,Wetter!A:A,0),MATCH(B248,Wetter!B$1:M$1,0))</f>
        <v>15.84</v>
      </c>
      <c r="E248" s="26">
        <v>6663</v>
      </c>
      <c r="F248" s="27">
        <v>4409</v>
      </c>
      <c r="G248" s="35">
        <f>_xlfn.XLOOKUP(A248,Bevölkerung!A:A,Bevölkerung!B:B)</f>
        <v>7870134</v>
      </c>
      <c r="H248" s="28">
        <f t="shared" si="21"/>
        <v>1785.0156498072124</v>
      </c>
      <c r="I248" s="24">
        <f t="shared" si="18"/>
        <v>1059.8557692307693</v>
      </c>
      <c r="J248" s="32">
        <f t="shared" si="22"/>
        <v>1.5112270356089816</v>
      </c>
      <c r="K248" s="25">
        <f t="shared" si="23"/>
        <v>2254</v>
      </c>
    </row>
    <row r="249" spans="1:11" x14ac:dyDescent="0.3">
      <c r="A249" s="25">
        <f t="shared" si="19"/>
        <v>2010</v>
      </c>
      <c r="B249" s="25" t="s">
        <v>8</v>
      </c>
      <c r="C249" s="25" t="str">
        <f t="shared" si="20"/>
        <v>Sommer</v>
      </c>
      <c r="D249" s="25">
        <f>INDEX(Wetter!B:M,MATCH(A249,Wetter!A:A,0),MATCH(B249,Wetter!B$1:M$1,0))</f>
        <v>12.88</v>
      </c>
      <c r="E249" s="26">
        <v>5534</v>
      </c>
      <c r="F249" s="27">
        <v>4423</v>
      </c>
      <c r="G249" s="35">
        <f>_xlfn.XLOOKUP(A249,Bevölkerung!A:A,Bevölkerung!B:B)</f>
        <v>7870134</v>
      </c>
      <c r="H249" s="28">
        <f t="shared" si="21"/>
        <v>1779.3655889667646</v>
      </c>
      <c r="I249" s="24">
        <f t="shared" si="18"/>
        <v>621.20786516853934</v>
      </c>
      <c r="J249" s="32">
        <f t="shared" si="22"/>
        <v>1.2511869771648203</v>
      </c>
      <c r="K249" s="25">
        <f t="shared" si="23"/>
        <v>1111</v>
      </c>
    </row>
    <row r="250" spans="1:11" x14ac:dyDescent="0.3">
      <c r="A250" s="25">
        <f t="shared" si="19"/>
        <v>2010</v>
      </c>
      <c r="B250" s="25" t="s">
        <v>9</v>
      </c>
      <c r="C250" s="25" t="str">
        <f t="shared" si="20"/>
        <v>Herbst</v>
      </c>
      <c r="D250" s="25">
        <f>INDEX(Wetter!B:M,MATCH(A250,Wetter!A:A,0),MATCH(B250,Wetter!B$1:M$1,0))</f>
        <v>9.32</v>
      </c>
      <c r="E250" s="26">
        <v>4980</v>
      </c>
      <c r="F250" s="27">
        <v>4561</v>
      </c>
      <c r="G250" s="35">
        <f>_xlfn.XLOOKUP(A250,Bevölkerung!A:A,Bevölkerung!B:B)</f>
        <v>7870134</v>
      </c>
      <c r="H250" s="28">
        <f t="shared" si="21"/>
        <v>1725.5281736461302</v>
      </c>
      <c r="I250" s="24">
        <f t="shared" si="18"/>
        <v>427.05992509363296</v>
      </c>
      <c r="J250" s="32">
        <f t="shared" si="22"/>
        <v>1.0918658188993642</v>
      </c>
      <c r="K250" s="25">
        <f t="shared" si="23"/>
        <v>419</v>
      </c>
    </row>
    <row r="251" spans="1:11" x14ac:dyDescent="0.3">
      <c r="A251" s="25">
        <f t="shared" si="19"/>
        <v>2010</v>
      </c>
      <c r="B251" s="25" t="s">
        <v>10</v>
      </c>
      <c r="C251" s="25" t="str">
        <f t="shared" si="20"/>
        <v>Herbst</v>
      </c>
      <c r="D251" s="25">
        <f>INDEX(Wetter!B:M,MATCH(A251,Wetter!A:A,0),MATCH(B251,Wetter!B$1:M$1,0))</f>
        <v>5.49</v>
      </c>
      <c r="E251" s="26">
        <v>5533</v>
      </c>
      <c r="F251" s="27">
        <v>5007</v>
      </c>
      <c r="G251" s="35">
        <f>_xlfn.XLOOKUP(A251,Bevölkerung!A:A,Bevölkerung!B:B)</f>
        <v>7870134</v>
      </c>
      <c r="H251" s="28">
        <f t="shared" si="21"/>
        <v>1571.8262432594368</v>
      </c>
      <c r="I251" s="24">
        <f t="shared" si="18"/>
        <v>345.07236388697453</v>
      </c>
      <c r="J251" s="32">
        <f t="shared" si="22"/>
        <v>1.1050529259037347</v>
      </c>
      <c r="K251" s="25">
        <f t="shared" si="23"/>
        <v>526</v>
      </c>
    </row>
    <row r="252" spans="1:11" x14ac:dyDescent="0.3">
      <c r="A252" s="25">
        <f t="shared" si="19"/>
        <v>2010</v>
      </c>
      <c r="B252" s="25" t="s">
        <v>11</v>
      </c>
      <c r="C252" s="25" t="str">
        <f t="shared" si="20"/>
        <v>Herbst</v>
      </c>
      <c r="D252" s="25">
        <f>INDEX(Wetter!B:M,MATCH(A252,Wetter!A:A,0),MATCH(B252,Wetter!B$1:M$1,0))</f>
        <v>1.03</v>
      </c>
      <c r="E252" s="26">
        <v>5336</v>
      </c>
      <c r="F252" s="27">
        <v>5300</v>
      </c>
      <c r="G252" s="35">
        <f>_xlfn.XLOOKUP(A252,Bevölkerung!A:A,Bevölkerung!B:B)</f>
        <v>7870134</v>
      </c>
      <c r="H252" s="28">
        <f t="shared" si="21"/>
        <v>1484.9309433962264</v>
      </c>
      <c r="I252" s="24">
        <f t="shared" si="18"/>
        <v>279.388508170796</v>
      </c>
      <c r="J252" s="32">
        <f t="shared" si="22"/>
        <v>1.0067924528301886</v>
      </c>
      <c r="K252" s="25">
        <f t="shared" si="23"/>
        <v>36</v>
      </c>
    </row>
    <row r="253" spans="1:11" x14ac:dyDescent="0.3">
      <c r="A253" s="25">
        <f t="shared" si="19"/>
        <v>2010</v>
      </c>
      <c r="B253" s="25" t="s">
        <v>12</v>
      </c>
      <c r="C253" s="25" t="str">
        <f t="shared" si="20"/>
        <v>Winter</v>
      </c>
      <c r="D253" s="25">
        <f>INDEX(Wetter!B:M,MATCH(A253,Wetter!A:A,0),MATCH(B253,Wetter!B$1:M$1,0))</f>
        <v>-4.29</v>
      </c>
      <c r="E253" s="26">
        <v>5904</v>
      </c>
      <c r="F253" s="27">
        <v>5874</v>
      </c>
      <c r="G253" s="35">
        <f>_xlfn.XLOOKUP(A253,Bevölkerung!A:A,Bevölkerung!B:B)</f>
        <v>7870134</v>
      </c>
      <c r="H253" s="28">
        <f t="shared" si="21"/>
        <v>1339.8253319713995</v>
      </c>
      <c r="I253" s="24">
        <f t="shared" si="18"/>
        <v>241.82791272128449</v>
      </c>
      <c r="J253" s="32">
        <f t="shared" si="22"/>
        <v>1.0051072522982636</v>
      </c>
      <c r="K253" s="25">
        <f t="shared" si="23"/>
        <v>30</v>
      </c>
    </row>
    <row r="254" spans="1:11" x14ac:dyDescent="0.3">
      <c r="A254" s="25">
        <f t="shared" si="19"/>
        <v>2011</v>
      </c>
      <c r="B254" s="25" t="s">
        <v>1</v>
      </c>
      <c r="C254" s="25" t="str">
        <f t="shared" si="20"/>
        <v>Winter</v>
      </c>
      <c r="D254" s="25">
        <f>INDEX(Wetter!B:M,MATCH(A254,Wetter!A:A,0),MATCH(B254,Wetter!B$1:M$1,0))</f>
        <v>-2.44</v>
      </c>
      <c r="E254" s="27">
        <v>5408</v>
      </c>
      <c r="F254" s="27">
        <v>5821</v>
      </c>
      <c r="G254" s="35">
        <f>_xlfn.XLOOKUP(A254,Bevölkerung!A:A,Bevölkerung!B:B)</f>
        <v>7954662</v>
      </c>
      <c r="H254" s="28">
        <f t="shared" si="21"/>
        <v>1366.5456107198077</v>
      </c>
      <c r="I254" s="24">
        <f t="shared" si="18"/>
        <v>259.40285204991085</v>
      </c>
      <c r="J254" s="32">
        <f t="shared" si="22"/>
        <v>0.92904999141041056</v>
      </c>
      <c r="K254" s="25">
        <f t="shared" si="23"/>
        <v>-413</v>
      </c>
    </row>
    <row r="255" spans="1:11" x14ac:dyDescent="0.3">
      <c r="A255" s="25">
        <f t="shared" si="19"/>
        <v>2011</v>
      </c>
      <c r="B255" s="25" t="s">
        <v>2</v>
      </c>
      <c r="C255" s="25" t="str">
        <f t="shared" si="20"/>
        <v>Winter</v>
      </c>
      <c r="D255" s="25">
        <f>INDEX(Wetter!B:M,MATCH(A255,Wetter!A:A,0),MATCH(B255,Wetter!B$1:M$1,0))</f>
        <v>-0.53</v>
      </c>
      <c r="E255" s="26">
        <v>4716</v>
      </c>
      <c r="F255" s="27">
        <v>5213</v>
      </c>
      <c r="G255" s="35">
        <f>_xlfn.XLOOKUP(A255,Bevölkerung!A:A,Bevölkerung!B:B)</f>
        <v>7954662</v>
      </c>
      <c r="H255" s="28">
        <f t="shared" si="21"/>
        <v>1525.9278726261271</v>
      </c>
      <c r="I255" s="24">
        <f t="shared" si="18"/>
        <v>253.92109108621528</v>
      </c>
      <c r="J255" s="32">
        <f t="shared" si="22"/>
        <v>0.90466142336466526</v>
      </c>
      <c r="K255" s="25">
        <f t="shared" si="23"/>
        <v>-497</v>
      </c>
    </row>
    <row r="256" spans="1:11" x14ac:dyDescent="0.3">
      <c r="A256" s="25">
        <f t="shared" si="19"/>
        <v>2011</v>
      </c>
      <c r="B256" s="25" t="s">
        <v>3</v>
      </c>
      <c r="C256" s="25" t="str">
        <f t="shared" si="20"/>
        <v>Frühling</v>
      </c>
      <c r="D256" s="25">
        <f>INDEX(Wetter!B:M,MATCH(A256,Wetter!A:A,0),MATCH(B256,Wetter!B$1:M$1,0))</f>
        <v>2.31</v>
      </c>
      <c r="E256" s="26">
        <v>4779</v>
      </c>
      <c r="F256" s="27">
        <v>5413</v>
      </c>
      <c r="G256" s="35">
        <f>_xlfn.XLOOKUP(A256,Bevölkerung!A:A,Bevölkerung!B:B)</f>
        <v>7954662</v>
      </c>
      <c r="H256" s="28">
        <f t="shared" si="21"/>
        <v>1469.5477554036579</v>
      </c>
      <c r="I256" s="24">
        <f t="shared" si="18"/>
        <v>305.99208592425094</v>
      </c>
      <c r="J256" s="32">
        <f t="shared" si="22"/>
        <v>0.8828745612414558</v>
      </c>
      <c r="K256" s="25">
        <f t="shared" si="23"/>
        <v>-634</v>
      </c>
    </row>
    <row r="257" spans="1:11" x14ac:dyDescent="0.3">
      <c r="A257" s="25">
        <f t="shared" si="19"/>
        <v>2011</v>
      </c>
      <c r="B257" s="25" t="s">
        <v>4</v>
      </c>
      <c r="C257" s="25" t="str">
        <f t="shared" si="20"/>
        <v>Frühling</v>
      </c>
      <c r="D257" s="25">
        <f>INDEX(Wetter!B:M,MATCH(A257,Wetter!A:A,0),MATCH(B257,Wetter!B$1:M$1,0))</f>
        <v>7.6</v>
      </c>
      <c r="E257" s="26">
        <v>4754</v>
      </c>
      <c r="F257" s="27">
        <v>4463</v>
      </c>
      <c r="G257" s="35">
        <f>_xlfn.XLOOKUP(A257,Bevölkerung!A:A,Bevölkerung!B:B)</f>
        <v>7954662</v>
      </c>
      <c r="H257" s="28">
        <f t="shared" si="21"/>
        <v>1782.3576069908133</v>
      </c>
      <c r="I257" s="24">
        <f t="shared" si="18"/>
        <v>359.91935483870969</v>
      </c>
      <c r="J257" s="32">
        <f t="shared" si="22"/>
        <v>1.0652027784001792</v>
      </c>
      <c r="K257" s="25">
        <f t="shared" si="23"/>
        <v>291</v>
      </c>
    </row>
    <row r="258" spans="1:11" x14ac:dyDescent="0.3">
      <c r="A258" s="25">
        <f t="shared" si="19"/>
        <v>2011</v>
      </c>
      <c r="B258" s="25" t="s">
        <v>5</v>
      </c>
      <c r="C258" s="25" t="str">
        <f t="shared" si="20"/>
        <v>Frühling</v>
      </c>
      <c r="D258" s="25">
        <f>INDEX(Wetter!B:M,MATCH(A258,Wetter!A:A,0),MATCH(B258,Wetter!B$1:M$1,0))</f>
        <v>10.58</v>
      </c>
      <c r="E258" s="26">
        <v>5456</v>
      </c>
      <c r="F258" s="27">
        <v>4587</v>
      </c>
      <c r="G258" s="35">
        <f>_xlfn.XLOOKUP(A258,Bevölkerung!A:A,Bevölkerung!B:B)</f>
        <v>7954662</v>
      </c>
      <c r="H258" s="28">
        <f t="shared" si="21"/>
        <v>1734.1752779594506</v>
      </c>
      <c r="I258" s="24">
        <f t="shared" ref="I258:I321" si="24">F258/(20-D258)</f>
        <v>486.94267515923565</v>
      </c>
      <c r="J258" s="32">
        <f t="shared" si="22"/>
        <v>1.1894484412470023</v>
      </c>
      <c r="K258" s="25">
        <f t="shared" si="23"/>
        <v>869</v>
      </c>
    </row>
    <row r="259" spans="1:11" x14ac:dyDescent="0.3">
      <c r="A259" s="25">
        <f t="shared" ref="A259:A322" si="25">1990+INT((ROW(A258)-1)/12)</f>
        <v>2011</v>
      </c>
      <c r="B259" s="25" t="s">
        <v>6</v>
      </c>
      <c r="C259" s="25" t="str">
        <f t="shared" ref="C259:C322" si="26">IF(OR(B259="dec",B259="jan",B259="feb"),"Winter",IF(OR(B259="mar",B259="apr",B259="may"),"Frühling",IF(OR(B259="jun",B259="jul",B259="aug"),"Sommer","Herbst")))</f>
        <v>Sommer</v>
      </c>
      <c r="D259" s="25">
        <f>INDEX(Wetter!B:M,MATCH(A259,Wetter!A:A,0),MATCH(B259,Wetter!B$1:M$1,0))</f>
        <v>12.31</v>
      </c>
      <c r="E259" s="26">
        <v>5210</v>
      </c>
      <c r="F259" s="27">
        <v>4342</v>
      </c>
      <c r="G259" s="35">
        <f>_xlfn.XLOOKUP(A259,Bevölkerung!A:A,Bevölkerung!B:B)</f>
        <v>7954662</v>
      </c>
      <c r="H259" s="28">
        <f t="shared" ref="H259:H322" si="27">G259/F259</f>
        <v>1832.0271764163979</v>
      </c>
      <c r="I259" s="24">
        <f t="shared" si="24"/>
        <v>564.62938881664502</v>
      </c>
      <c r="J259" s="32">
        <f t="shared" ref="J259:J322" si="28">E259/F259</f>
        <v>1.1999078765545832</v>
      </c>
      <c r="K259" s="25">
        <f t="shared" ref="K259:K322" si="29">E259-F259</f>
        <v>868</v>
      </c>
    </row>
    <row r="260" spans="1:11" x14ac:dyDescent="0.3">
      <c r="A260" s="25">
        <f t="shared" si="25"/>
        <v>2011</v>
      </c>
      <c r="B260" s="25" t="s">
        <v>7</v>
      </c>
      <c r="C260" s="25" t="str">
        <f t="shared" si="26"/>
        <v>Sommer</v>
      </c>
      <c r="D260" s="25">
        <f>INDEX(Wetter!B:M,MATCH(A260,Wetter!A:A,0),MATCH(B260,Wetter!B$1:M$1,0))</f>
        <v>12.05</v>
      </c>
      <c r="E260" s="26">
        <v>6030</v>
      </c>
      <c r="F260" s="27">
        <v>4294</v>
      </c>
      <c r="G260" s="35">
        <f>_xlfn.XLOOKUP(A260,Bevölkerung!A:A,Bevölkerung!B:B)</f>
        <v>7954662</v>
      </c>
      <c r="H260" s="28">
        <f t="shared" si="27"/>
        <v>1852.5062878435026</v>
      </c>
      <c r="I260" s="24">
        <f t="shared" si="24"/>
        <v>540.12578616352209</v>
      </c>
      <c r="J260" s="32">
        <f t="shared" si="28"/>
        <v>1.4042850489054495</v>
      </c>
      <c r="K260" s="25">
        <f t="shared" si="29"/>
        <v>1736</v>
      </c>
    </row>
    <row r="261" spans="1:11" x14ac:dyDescent="0.3">
      <c r="A261" s="25">
        <f t="shared" si="25"/>
        <v>2011</v>
      </c>
      <c r="B261" s="25" t="s">
        <v>8</v>
      </c>
      <c r="C261" s="25" t="str">
        <f t="shared" si="26"/>
        <v>Sommer</v>
      </c>
      <c r="D261" s="25">
        <f>INDEX(Wetter!B:M,MATCH(A261,Wetter!A:A,0),MATCH(B261,Wetter!B$1:M$1,0))</f>
        <v>15.18</v>
      </c>
      <c r="E261" s="26">
        <v>4954</v>
      </c>
      <c r="F261" s="27">
        <v>4374</v>
      </c>
      <c r="G261" s="35">
        <f>_xlfn.XLOOKUP(A261,Bevölkerung!A:A,Bevölkerung!B:B)</f>
        <v>7954662</v>
      </c>
      <c r="H261" s="28">
        <f t="shared" si="27"/>
        <v>1818.6241426611798</v>
      </c>
      <c r="I261" s="24">
        <f t="shared" si="24"/>
        <v>907.46887966804979</v>
      </c>
      <c r="J261" s="32">
        <f t="shared" si="28"/>
        <v>1.132601737540009</v>
      </c>
      <c r="K261" s="25">
        <f t="shared" si="29"/>
        <v>580</v>
      </c>
    </row>
    <row r="262" spans="1:11" x14ac:dyDescent="0.3">
      <c r="A262" s="25">
        <f t="shared" si="25"/>
        <v>2011</v>
      </c>
      <c r="B262" s="25" t="s">
        <v>9</v>
      </c>
      <c r="C262" s="25" t="str">
        <f t="shared" si="26"/>
        <v>Herbst</v>
      </c>
      <c r="D262" s="25">
        <f>INDEX(Wetter!B:M,MATCH(A262,Wetter!A:A,0),MATCH(B262,Wetter!B$1:M$1,0))</f>
        <v>12.63</v>
      </c>
      <c r="E262" s="26">
        <v>5643</v>
      </c>
      <c r="F262" s="27">
        <v>4470</v>
      </c>
      <c r="G262" s="35">
        <f>_xlfn.XLOOKUP(A262,Bevölkerung!A:A,Bevölkerung!B:B)</f>
        <v>7954662</v>
      </c>
      <c r="H262" s="28">
        <f t="shared" si="27"/>
        <v>1779.5664429530202</v>
      </c>
      <c r="I262" s="24">
        <f t="shared" si="24"/>
        <v>606.51289009497975</v>
      </c>
      <c r="J262" s="32">
        <f t="shared" si="28"/>
        <v>1.2624161073825504</v>
      </c>
      <c r="K262" s="25">
        <f t="shared" si="29"/>
        <v>1173</v>
      </c>
    </row>
    <row r="263" spans="1:11" x14ac:dyDescent="0.3">
      <c r="A263" s="25">
        <f t="shared" si="25"/>
        <v>2011</v>
      </c>
      <c r="B263" s="25" t="s">
        <v>10</v>
      </c>
      <c r="C263" s="25" t="str">
        <f t="shared" si="26"/>
        <v>Herbst</v>
      </c>
      <c r="D263" s="25">
        <f>INDEX(Wetter!B:M,MATCH(A263,Wetter!A:A,0),MATCH(B263,Wetter!B$1:M$1,0))</f>
        <v>6.52</v>
      </c>
      <c r="E263" s="26">
        <v>5455</v>
      </c>
      <c r="F263" s="27">
        <v>4847</v>
      </c>
      <c r="G263" s="35">
        <f>_xlfn.XLOOKUP(A263,Bevölkerung!A:A,Bevölkerung!B:B)</f>
        <v>7954662</v>
      </c>
      <c r="H263" s="28">
        <f t="shared" si="27"/>
        <v>1641.1516401898082</v>
      </c>
      <c r="I263" s="24">
        <f t="shared" si="24"/>
        <v>359.56973293768544</v>
      </c>
      <c r="J263" s="32">
        <f t="shared" si="28"/>
        <v>1.1254384155147514</v>
      </c>
      <c r="K263" s="25">
        <f t="shared" si="29"/>
        <v>608</v>
      </c>
    </row>
    <row r="264" spans="1:11" x14ac:dyDescent="0.3">
      <c r="A264" s="25">
        <f t="shared" si="25"/>
        <v>2011</v>
      </c>
      <c r="B264" s="25" t="s">
        <v>11</v>
      </c>
      <c r="C264" s="25" t="str">
        <f t="shared" si="26"/>
        <v>Herbst</v>
      </c>
      <c r="D264" s="25">
        <f>INDEX(Wetter!B:M,MATCH(A264,Wetter!A:A,0),MATCH(B264,Wetter!B$1:M$1,0))</f>
        <v>3.69</v>
      </c>
      <c r="E264" s="26">
        <v>5196</v>
      </c>
      <c r="F264" s="27">
        <v>5242</v>
      </c>
      <c r="G264" s="35">
        <f>_xlfn.XLOOKUP(A264,Bevölkerung!A:A,Bevölkerung!B:B)</f>
        <v>7954662</v>
      </c>
      <c r="H264" s="28">
        <f t="shared" si="27"/>
        <v>1517.4860740175507</v>
      </c>
      <c r="I264" s="24">
        <f t="shared" si="24"/>
        <v>321.39791538933173</v>
      </c>
      <c r="J264" s="32">
        <f t="shared" si="28"/>
        <v>0.99122472338801981</v>
      </c>
      <c r="K264" s="25">
        <f t="shared" si="29"/>
        <v>-46</v>
      </c>
    </row>
    <row r="265" spans="1:11" x14ac:dyDescent="0.3">
      <c r="A265" s="25">
        <f t="shared" si="25"/>
        <v>2011</v>
      </c>
      <c r="B265" s="25" t="s">
        <v>12</v>
      </c>
      <c r="C265" s="25" t="str">
        <f t="shared" si="26"/>
        <v>Winter</v>
      </c>
      <c r="D265" s="25">
        <f>INDEX(Wetter!B:M,MATCH(A265,Wetter!A:A,0),MATCH(B265,Wetter!B$1:M$1,0))</f>
        <v>-0.52</v>
      </c>
      <c r="E265" s="26">
        <v>5280</v>
      </c>
      <c r="F265" s="27">
        <v>5533</v>
      </c>
      <c r="G265" s="35">
        <f>_xlfn.XLOOKUP(A265,Bevölkerung!A:A,Bevölkerung!B:B)</f>
        <v>7954662</v>
      </c>
      <c r="H265" s="28">
        <f t="shared" si="27"/>
        <v>1437.6761250677753</v>
      </c>
      <c r="I265" s="24">
        <f t="shared" si="24"/>
        <v>269.6393762183236</v>
      </c>
      <c r="J265" s="32">
        <f t="shared" si="28"/>
        <v>0.95427435387673953</v>
      </c>
      <c r="K265" s="25">
        <f t="shared" si="29"/>
        <v>-253</v>
      </c>
    </row>
    <row r="266" spans="1:11" x14ac:dyDescent="0.3">
      <c r="A266" s="25">
        <f t="shared" si="25"/>
        <v>2012</v>
      </c>
      <c r="B266" s="25" t="s">
        <v>1</v>
      </c>
      <c r="C266" s="25" t="str">
        <f t="shared" si="26"/>
        <v>Winter</v>
      </c>
      <c r="D266" s="25">
        <f>INDEX(Wetter!B:M,MATCH(A266,Wetter!A:A,0),MATCH(B266,Wetter!B$1:M$1,0))</f>
        <v>-1.81</v>
      </c>
      <c r="E266" s="26">
        <v>5543</v>
      </c>
      <c r="F266" s="27">
        <v>5740</v>
      </c>
      <c r="G266" s="35">
        <f>_xlfn.XLOOKUP(A266,Bevölkerung!A:A,Bevölkerung!B:B)</f>
        <v>8039060</v>
      </c>
      <c r="H266" s="28">
        <f t="shared" si="27"/>
        <v>1400.5331010452962</v>
      </c>
      <c r="I266" s="24">
        <f t="shared" si="24"/>
        <v>263.18202659330586</v>
      </c>
      <c r="J266" s="32">
        <f t="shared" si="28"/>
        <v>0.96567944250871085</v>
      </c>
      <c r="K266" s="25">
        <f t="shared" si="29"/>
        <v>-197</v>
      </c>
    </row>
    <row r="267" spans="1:11" x14ac:dyDescent="0.3">
      <c r="A267" s="25">
        <f t="shared" si="25"/>
        <v>2012</v>
      </c>
      <c r="B267" s="25" t="s">
        <v>2</v>
      </c>
      <c r="C267" s="25" t="str">
        <f t="shared" si="26"/>
        <v>Winter</v>
      </c>
      <c r="D267" s="25">
        <f>INDEX(Wetter!B:M,MATCH(A267,Wetter!A:A,0),MATCH(B267,Wetter!B$1:M$1,0))</f>
        <v>-6.48</v>
      </c>
      <c r="E267" s="26">
        <v>5420</v>
      </c>
      <c r="F267" s="27">
        <v>5812</v>
      </c>
      <c r="G267" s="35">
        <f>_xlfn.XLOOKUP(A267,Bevölkerung!A:A,Bevölkerung!B:B)</f>
        <v>8039060</v>
      </c>
      <c r="H267" s="28">
        <f t="shared" si="27"/>
        <v>1383.1830695113558</v>
      </c>
      <c r="I267" s="24">
        <f t="shared" si="24"/>
        <v>219.48640483383684</v>
      </c>
      <c r="J267" s="32">
        <f t="shared" si="28"/>
        <v>0.9325533379215416</v>
      </c>
      <c r="K267" s="25">
        <f t="shared" si="29"/>
        <v>-392</v>
      </c>
    </row>
    <row r="268" spans="1:11" x14ac:dyDescent="0.3">
      <c r="A268" s="25">
        <f t="shared" si="25"/>
        <v>2012</v>
      </c>
      <c r="B268" s="25" t="s">
        <v>3</v>
      </c>
      <c r="C268" s="25" t="str">
        <f t="shared" si="26"/>
        <v>Frühling</v>
      </c>
      <c r="D268" s="25">
        <f>INDEX(Wetter!B:M,MATCH(A268,Wetter!A:A,0),MATCH(B268,Wetter!B$1:M$1,0))</f>
        <v>3.73</v>
      </c>
      <c r="E268" s="26">
        <v>4854</v>
      </c>
      <c r="F268" s="27">
        <v>5207</v>
      </c>
      <c r="G268" s="35">
        <f>_xlfn.XLOOKUP(A268,Bevölkerung!A:A,Bevölkerung!B:B)</f>
        <v>8039060</v>
      </c>
      <c r="H268" s="28">
        <f t="shared" si="27"/>
        <v>1543.8947570578068</v>
      </c>
      <c r="I268" s="24">
        <f t="shared" si="24"/>
        <v>320.03687768899817</v>
      </c>
      <c r="J268" s="32">
        <f t="shared" si="28"/>
        <v>0.93220664490109473</v>
      </c>
      <c r="K268" s="25">
        <f t="shared" si="29"/>
        <v>-353</v>
      </c>
    </row>
    <row r="269" spans="1:11" x14ac:dyDescent="0.3">
      <c r="A269" s="25">
        <f t="shared" si="25"/>
        <v>2012</v>
      </c>
      <c r="B269" s="25" t="s">
        <v>4</v>
      </c>
      <c r="C269" s="25" t="str">
        <f t="shared" si="26"/>
        <v>Frühling</v>
      </c>
      <c r="D269" s="25">
        <f>INDEX(Wetter!B:M,MATCH(A269,Wetter!A:A,0),MATCH(B269,Wetter!B$1:M$1,0))</f>
        <v>4.08</v>
      </c>
      <c r="E269" s="26">
        <v>4964</v>
      </c>
      <c r="F269" s="27">
        <v>4651</v>
      </c>
      <c r="G269" s="35">
        <f>_xlfn.XLOOKUP(A269,Bevölkerung!A:A,Bevölkerung!B:B)</f>
        <v>8039060</v>
      </c>
      <c r="H269" s="28">
        <f t="shared" si="27"/>
        <v>1728.4583960438615</v>
      </c>
      <c r="I269" s="24">
        <f t="shared" si="24"/>
        <v>292.14824120603015</v>
      </c>
      <c r="J269" s="32">
        <f t="shared" si="28"/>
        <v>1.0672973554074392</v>
      </c>
      <c r="K269" s="25">
        <f t="shared" si="29"/>
        <v>313</v>
      </c>
    </row>
    <row r="270" spans="1:11" x14ac:dyDescent="0.3">
      <c r="A270" s="25">
        <f t="shared" si="25"/>
        <v>2012</v>
      </c>
      <c r="B270" s="25" t="s">
        <v>5</v>
      </c>
      <c r="C270" s="25" t="str">
        <f t="shared" si="26"/>
        <v>Frühling</v>
      </c>
      <c r="D270" s="25">
        <f>INDEX(Wetter!B:M,MATCH(A270,Wetter!A:A,0),MATCH(B270,Wetter!B$1:M$1,0))</f>
        <v>9.42</v>
      </c>
      <c r="E270" s="26">
        <v>6388</v>
      </c>
      <c r="F270" s="27">
        <v>4449</v>
      </c>
      <c r="G270" s="35">
        <f>_xlfn.XLOOKUP(A270,Bevölkerung!A:A,Bevölkerung!B:B)</f>
        <v>8039060</v>
      </c>
      <c r="H270" s="28">
        <f t="shared" si="27"/>
        <v>1806.936390200045</v>
      </c>
      <c r="I270" s="24">
        <f t="shared" si="24"/>
        <v>420.51039697542535</v>
      </c>
      <c r="J270" s="32">
        <f t="shared" si="28"/>
        <v>1.4358282760170824</v>
      </c>
      <c r="K270" s="25">
        <f t="shared" si="29"/>
        <v>1939</v>
      </c>
    </row>
    <row r="271" spans="1:11" x14ac:dyDescent="0.3">
      <c r="A271" s="25">
        <f t="shared" si="25"/>
        <v>2012</v>
      </c>
      <c r="B271" s="25" t="s">
        <v>6</v>
      </c>
      <c r="C271" s="25" t="str">
        <f t="shared" si="26"/>
        <v>Sommer</v>
      </c>
      <c r="D271" s="25">
        <f>INDEX(Wetter!B:M,MATCH(A271,Wetter!A:A,0),MATCH(B271,Wetter!B$1:M$1,0))</f>
        <v>13.29</v>
      </c>
      <c r="E271" s="26">
        <v>6287</v>
      </c>
      <c r="F271" s="27">
        <v>4346</v>
      </c>
      <c r="G271" s="35">
        <f>_xlfn.XLOOKUP(A271,Bevölkerung!A:A,Bevölkerung!B:B)</f>
        <v>8039060</v>
      </c>
      <c r="H271" s="28">
        <f t="shared" si="27"/>
        <v>1849.7606994937873</v>
      </c>
      <c r="I271" s="24">
        <f t="shared" si="24"/>
        <v>647.69001490312962</v>
      </c>
      <c r="J271" s="32">
        <f t="shared" si="28"/>
        <v>1.4466175793833409</v>
      </c>
      <c r="K271" s="25">
        <f t="shared" si="29"/>
        <v>1941</v>
      </c>
    </row>
    <row r="272" spans="1:11" x14ac:dyDescent="0.3">
      <c r="A272" s="25">
        <f t="shared" si="25"/>
        <v>2012</v>
      </c>
      <c r="B272" s="25" t="s">
        <v>7</v>
      </c>
      <c r="C272" s="25" t="str">
        <f t="shared" si="26"/>
        <v>Sommer</v>
      </c>
      <c r="D272" s="25">
        <f>INDEX(Wetter!B:M,MATCH(A272,Wetter!A:A,0),MATCH(B272,Wetter!B$1:M$1,0))</f>
        <v>13.97</v>
      </c>
      <c r="E272" s="26">
        <v>7116</v>
      </c>
      <c r="F272" s="27">
        <v>4286</v>
      </c>
      <c r="G272" s="35">
        <f>_xlfn.XLOOKUP(A272,Bevölkerung!A:A,Bevölkerung!B:B)</f>
        <v>8039060</v>
      </c>
      <c r="H272" s="28">
        <f t="shared" si="27"/>
        <v>1875.6556229584694</v>
      </c>
      <c r="I272" s="24">
        <f t="shared" si="24"/>
        <v>710.77943615257061</v>
      </c>
      <c r="J272" s="32">
        <f t="shared" si="28"/>
        <v>1.6602893140457302</v>
      </c>
      <c r="K272" s="25">
        <f t="shared" si="29"/>
        <v>2830</v>
      </c>
    </row>
    <row r="273" spans="1:11" x14ac:dyDescent="0.3">
      <c r="A273" s="25">
        <f t="shared" si="25"/>
        <v>2012</v>
      </c>
      <c r="B273" s="25" t="s">
        <v>8</v>
      </c>
      <c r="C273" s="25" t="str">
        <f t="shared" si="26"/>
        <v>Sommer</v>
      </c>
      <c r="D273" s="25">
        <f>INDEX(Wetter!B:M,MATCH(A273,Wetter!A:A,0),MATCH(B273,Wetter!B$1:M$1,0))</f>
        <v>15.54</v>
      </c>
      <c r="E273" s="26">
        <v>5904</v>
      </c>
      <c r="F273" s="27">
        <v>4361</v>
      </c>
      <c r="G273" s="35">
        <f>_xlfn.XLOOKUP(A273,Bevölkerung!A:A,Bevölkerung!B:B)</f>
        <v>8039060</v>
      </c>
      <c r="H273" s="28">
        <f t="shared" si="27"/>
        <v>1843.3983031414814</v>
      </c>
      <c r="I273" s="24">
        <f t="shared" si="24"/>
        <v>977.80269058295949</v>
      </c>
      <c r="J273" s="32">
        <f t="shared" si="28"/>
        <v>1.3538179316670489</v>
      </c>
      <c r="K273" s="25">
        <f t="shared" si="29"/>
        <v>1543</v>
      </c>
    </row>
    <row r="274" spans="1:11" x14ac:dyDescent="0.3">
      <c r="A274" s="25">
        <f t="shared" si="25"/>
        <v>2012</v>
      </c>
      <c r="B274" s="25" t="s">
        <v>9</v>
      </c>
      <c r="C274" s="25" t="str">
        <f t="shared" si="26"/>
        <v>Herbst</v>
      </c>
      <c r="D274" s="25">
        <f>INDEX(Wetter!B:M,MATCH(A274,Wetter!A:A,0),MATCH(B274,Wetter!B$1:M$1,0))</f>
        <v>10.67</v>
      </c>
      <c r="E274" s="26">
        <v>5009</v>
      </c>
      <c r="F274" s="27">
        <v>4412</v>
      </c>
      <c r="G274" s="35">
        <f>_xlfn.XLOOKUP(A274,Bevölkerung!A:A,Bevölkerung!B:B)</f>
        <v>8039060</v>
      </c>
      <c r="H274" s="28">
        <f t="shared" si="27"/>
        <v>1822.0897552130552</v>
      </c>
      <c r="I274" s="24">
        <f t="shared" si="24"/>
        <v>472.88317256162912</v>
      </c>
      <c r="J274" s="32">
        <f t="shared" si="28"/>
        <v>1.1353127833182231</v>
      </c>
      <c r="K274" s="25">
        <f t="shared" si="29"/>
        <v>597</v>
      </c>
    </row>
    <row r="275" spans="1:11" x14ac:dyDescent="0.3">
      <c r="A275" s="25">
        <f t="shared" si="25"/>
        <v>2012</v>
      </c>
      <c r="B275" s="25" t="s">
        <v>10</v>
      </c>
      <c r="C275" s="25" t="str">
        <f t="shared" si="26"/>
        <v>Herbst</v>
      </c>
      <c r="D275" s="25">
        <f>INDEX(Wetter!B:M,MATCH(A275,Wetter!A:A,0),MATCH(B275,Wetter!B$1:M$1,0))</f>
        <v>6.84</v>
      </c>
      <c r="E275" s="26">
        <v>5276</v>
      </c>
      <c r="F275" s="27">
        <v>4910</v>
      </c>
      <c r="G275" s="35">
        <f>_xlfn.XLOOKUP(A275,Bevölkerung!A:A,Bevölkerung!B:B)</f>
        <v>8039060</v>
      </c>
      <c r="H275" s="28">
        <f t="shared" si="27"/>
        <v>1637.2830957230142</v>
      </c>
      <c r="I275" s="24">
        <f t="shared" si="24"/>
        <v>373.10030395136778</v>
      </c>
      <c r="J275" s="32">
        <f t="shared" si="28"/>
        <v>1.0745417515274949</v>
      </c>
      <c r="K275" s="25">
        <f t="shared" si="29"/>
        <v>366</v>
      </c>
    </row>
    <row r="276" spans="1:11" x14ac:dyDescent="0.3">
      <c r="A276" s="25">
        <f t="shared" si="25"/>
        <v>2012</v>
      </c>
      <c r="B276" s="25" t="s">
        <v>11</v>
      </c>
      <c r="C276" s="25" t="str">
        <f t="shared" si="26"/>
        <v>Herbst</v>
      </c>
      <c r="D276" s="25">
        <f>INDEX(Wetter!B:M,MATCH(A276,Wetter!A:A,0),MATCH(B276,Wetter!B$1:M$1,0))</f>
        <v>2.73</v>
      </c>
      <c r="E276" s="26">
        <v>5571</v>
      </c>
      <c r="F276" s="27">
        <v>5205</v>
      </c>
      <c r="G276" s="35">
        <f>_xlfn.XLOOKUP(A276,Bevölkerung!A:A,Bevölkerung!B:B)</f>
        <v>8039060</v>
      </c>
      <c r="H276" s="28">
        <f t="shared" si="27"/>
        <v>1544.4879923150816</v>
      </c>
      <c r="I276" s="24">
        <f t="shared" si="24"/>
        <v>301.38969310943833</v>
      </c>
      <c r="J276" s="32">
        <f t="shared" si="28"/>
        <v>1.0703170028818443</v>
      </c>
      <c r="K276" s="25">
        <f t="shared" si="29"/>
        <v>366</v>
      </c>
    </row>
    <row r="277" spans="1:11" x14ac:dyDescent="0.3">
      <c r="A277" s="25">
        <f t="shared" si="25"/>
        <v>2012</v>
      </c>
      <c r="B277" s="25" t="s">
        <v>12</v>
      </c>
      <c r="C277" s="25" t="str">
        <f t="shared" si="26"/>
        <v>Winter</v>
      </c>
      <c r="D277" s="25">
        <f>INDEX(Wetter!B:M,MATCH(A277,Wetter!A:A,0),MATCH(B277,Wetter!B$1:M$1,0))</f>
        <v>-2.1800000000000002</v>
      </c>
      <c r="E277" s="26">
        <v>5687</v>
      </c>
      <c r="F277" s="27">
        <v>5594</v>
      </c>
      <c r="G277" s="35">
        <f>_xlfn.XLOOKUP(A277,Bevölkerung!A:A,Bevölkerung!B:B)</f>
        <v>8039060</v>
      </c>
      <c r="H277" s="28">
        <f t="shared" si="27"/>
        <v>1437.0861637468718</v>
      </c>
      <c r="I277" s="24">
        <f t="shared" si="24"/>
        <v>252.2091974752029</v>
      </c>
      <c r="J277" s="32">
        <f t="shared" si="28"/>
        <v>1.0166249553092599</v>
      </c>
      <c r="K277" s="25">
        <f t="shared" si="29"/>
        <v>93</v>
      </c>
    </row>
    <row r="278" spans="1:11" x14ac:dyDescent="0.3">
      <c r="A278" s="25">
        <f t="shared" si="25"/>
        <v>2013</v>
      </c>
      <c r="B278" s="25" t="s">
        <v>1</v>
      </c>
      <c r="C278" s="25" t="str">
        <f t="shared" si="26"/>
        <v>Winter</v>
      </c>
      <c r="D278" s="25">
        <f>INDEX(Wetter!B:M,MATCH(A278,Wetter!A:A,0),MATCH(B278,Wetter!B$1:M$1,0))</f>
        <v>-2.67</v>
      </c>
      <c r="E278" s="26">
        <v>5876</v>
      </c>
      <c r="F278" s="27">
        <v>5792</v>
      </c>
      <c r="G278" s="35">
        <f>_xlfn.XLOOKUP(A278,Bevölkerung!A:A,Bevölkerung!B:B)</f>
        <v>8139631</v>
      </c>
      <c r="H278" s="28">
        <f t="shared" si="27"/>
        <v>1405.3230317679559</v>
      </c>
      <c r="I278" s="24">
        <f t="shared" si="24"/>
        <v>255.49183943537713</v>
      </c>
      <c r="J278" s="32">
        <f t="shared" si="28"/>
        <v>1.0145027624309393</v>
      </c>
      <c r="K278" s="25">
        <f t="shared" si="29"/>
        <v>84</v>
      </c>
    </row>
    <row r="279" spans="1:11" x14ac:dyDescent="0.3">
      <c r="A279" s="25">
        <f t="shared" si="25"/>
        <v>2013</v>
      </c>
      <c r="B279" s="25" t="s">
        <v>2</v>
      </c>
      <c r="C279" s="25" t="str">
        <f t="shared" si="26"/>
        <v>Winter</v>
      </c>
      <c r="D279" s="25">
        <f>INDEX(Wetter!B:M,MATCH(A279,Wetter!A:A,0),MATCH(B279,Wetter!B$1:M$1,0))</f>
        <v>-5.34</v>
      </c>
      <c r="E279" s="26">
        <v>5559</v>
      </c>
      <c r="F279" s="27">
        <v>5428</v>
      </c>
      <c r="G279" s="35">
        <f>_xlfn.XLOOKUP(A279,Bevölkerung!A:A,Bevölkerung!B:B)</f>
        <v>8139631</v>
      </c>
      <c r="H279" s="28">
        <f t="shared" si="27"/>
        <v>1499.5635593220338</v>
      </c>
      <c r="I279" s="24">
        <f t="shared" si="24"/>
        <v>214.20678768745069</v>
      </c>
      <c r="J279" s="32">
        <f t="shared" si="28"/>
        <v>1.0241341193809874</v>
      </c>
      <c r="K279" s="25">
        <f t="shared" si="29"/>
        <v>131</v>
      </c>
    </row>
    <row r="280" spans="1:11" x14ac:dyDescent="0.3">
      <c r="A280" s="25">
        <f t="shared" si="25"/>
        <v>2013</v>
      </c>
      <c r="B280" s="25" t="s">
        <v>3</v>
      </c>
      <c r="C280" s="25" t="str">
        <f t="shared" si="26"/>
        <v>Frühling</v>
      </c>
      <c r="D280" s="25">
        <f>INDEX(Wetter!B:M,MATCH(A280,Wetter!A:A,0),MATCH(B280,Wetter!B$1:M$1,0))</f>
        <v>-0.76</v>
      </c>
      <c r="E280" s="26">
        <v>5139</v>
      </c>
      <c r="F280" s="27">
        <v>5513</v>
      </c>
      <c r="G280" s="35">
        <f>_xlfn.XLOOKUP(A280,Bevölkerung!A:A,Bevölkerung!B:B)</f>
        <v>8139631</v>
      </c>
      <c r="H280" s="28">
        <f t="shared" si="27"/>
        <v>1476.4431344095774</v>
      </c>
      <c r="I280" s="24">
        <f t="shared" si="24"/>
        <v>265.55876685934487</v>
      </c>
      <c r="J280" s="32">
        <f t="shared" si="28"/>
        <v>0.93216034826773086</v>
      </c>
      <c r="K280" s="25">
        <f t="shared" si="29"/>
        <v>-374</v>
      </c>
    </row>
    <row r="281" spans="1:11" x14ac:dyDescent="0.3">
      <c r="A281" s="25">
        <f t="shared" si="25"/>
        <v>2013</v>
      </c>
      <c r="B281" s="25" t="s">
        <v>4</v>
      </c>
      <c r="C281" s="25" t="str">
        <f t="shared" si="26"/>
        <v>Frühling</v>
      </c>
      <c r="D281" s="25">
        <f>INDEX(Wetter!B:M,MATCH(A281,Wetter!A:A,0),MATCH(B281,Wetter!B$1:M$1,0))</f>
        <v>4.87</v>
      </c>
      <c r="E281" s="26">
        <v>5112</v>
      </c>
      <c r="F281" s="27">
        <v>4777</v>
      </c>
      <c r="G281" s="35">
        <f>_xlfn.XLOOKUP(A281,Bevölkerung!A:A,Bevölkerung!B:B)</f>
        <v>8139631</v>
      </c>
      <c r="H281" s="28">
        <f t="shared" si="27"/>
        <v>1703.9210801758427</v>
      </c>
      <c r="I281" s="24">
        <f t="shared" si="24"/>
        <v>315.7303370786517</v>
      </c>
      <c r="J281" s="32">
        <f t="shared" si="28"/>
        <v>1.0701276952061964</v>
      </c>
      <c r="K281" s="25">
        <f t="shared" si="29"/>
        <v>335</v>
      </c>
    </row>
    <row r="282" spans="1:11" x14ac:dyDescent="0.3">
      <c r="A282" s="25">
        <f t="shared" si="25"/>
        <v>2013</v>
      </c>
      <c r="B282" s="25" t="s">
        <v>5</v>
      </c>
      <c r="C282" s="25" t="str">
        <f t="shared" si="26"/>
        <v>Frühling</v>
      </c>
      <c r="D282" s="25">
        <f>INDEX(Wetter!B:M,MATCH(A282,Wetter!A:A,0),MATCH(B282,Wetter!B$1:M$1,0))</f>
        <v>6.24</v>
      </c>
      <c r="E282" s="26">
        <v>6083</v>
      </c>
      <c r="F282" s="27">
        <v>4573</v>
      </c>
      <c r="G282" s="35">
        <f>_xlfn.XLOOKUP(A282,Bevölkerung!A:A,Bevölkerung!B:B)</f>
        <v>8139631</v>
      </c>
      <c r="H282" s="28">
        <f t="shared" si="27"/>
        <v>1779.9324294773671</v>
      </c>
      <c r="I282" s="24">
        <f t="shared" si="24"/>
        <v>332.34011627906978</v>
      </c>
      <c r="J282" s="32">
        <f t="shared" si="28"/>
        <v>1.3301989940957797</v>
      </c>
      <c r="K282" s="25">
        <f t="shared" si="29"/>
        <v>1510</v>
      </c>
    </row>
    <row r="283" spans="1:11" x14ac:dyDescent="0.3">
      <c r="A283" s="25">
        <f t="shared" si="25"/>
        <v>2013</v>
      </c>
      <c r="B283" s="25" t="s">
        <v>6</v>
      </c>
      <c r="C283" s="25" t="str">
        <f t="shared" si="26"/>
        <v>Sommer</v>
      </c>
      <c r="D283" s="25">
        <f>INDEX(Wetter!B:M,MATCH(A283,Wetter!A:A,0),MATCH(B283,Wetter!B$1:M$1,0))</f>
        <v>11.49</v>
      </c>
      <c r="E283" s="26">
        <v>5838</v>
      </c>
      <c r="F283" s="27">
        <v>4394</v>
      </c>
      <c r="G283" s="35">
        <f>_xlfn.XLOOKUP(A283,Bevölkerung!A:A,Bevölkerung!B:B)</f>
        <v>8139631</v>
      </c>
      <c r="H283" s="28">
        <f t="shared" si="27"/>
        <v>1852.4421939007739</v>
      </c>
      <c r="I283" s="24">
        <f t="shared" si="24"/>
        <v>516.33372502937721</v>
      </c>
      <c r="J283" s="32">
        <f t="shared" si="28"/>
        <v>1.3286299499317251</v>
      </c>
      <c r="K283" s="25">
        <f t="shared" si="29"/>
        <v>1444</v>
      </c>
    </row>
    <row r="284" spans="1:11" x14ac:dyDescent="0.3">
      <c r="A284" s="25">
        <f t="shared" si="25"/>
        <v>2013</v>
      </c>
      <c r="B284" s="25" t="s">
        <v>7</v>
      </c>
      <c r="C284" s="25" t="str">
        <f t="shared" si="26"/>
        <v>Sommer</v>
      </c>
      <c r="D284" s="25">
        <f>INDEX(Wetter!B:M,MATCH(A284,Wetter!A:A,0),MATCH(B284,Wetter!B$1:M$1,0))</f>
        <v>15.98</v>
      </c>
      <c r="E284" s="26">
        <v>6547</v>
      </c>
      <c r="F284" s="27">
        <v>4342</v>
      </c>
      <c r="G284" s="35">
        <f>_xlfn.XLOOKUP(A284,Bevölkerung!A:A,Bevölkerung!B:B)</f>
        <v>8139631</v>
      </c>
      <c r="H284" s="28">
        <f t="shared" si="27"/>
        <v>1874.6271303546753</v>
      </c>
      <c r="I284" s="24">
        <f t="shared" si="24"/>
        <v>1080.0995024875624</v>
      </c>
      <c r="J284" s="32">
        <f t="shared" si="28"/>
        <v>1.5078304928604329</v>
      </c>
      <c r="K284" s="25">
        <f t="shared" si="29"/>
        <v>2205</v>
      </c>
    </row>
    <row r="285" spans="1:11" x14ac:dyDescent="0.3">
      <c r="A285" s="25">
        <f t="shared" si="25"/>
        <v>2013</v>
      </c>
      <c r="B285" s="25" t="s">
        <v>8</v>
      </c>
      <c r="C285" s="25" t="str">
        <f t="shared" si="26"/>
        <v>Sommer</v>
      </c>
      <c r="D285" s="25">
        <f>INDEX(Wetter!B:M,MATCH(A285,Wetter!A:A,0),MATCH(B285,Wetter!B$1:M$1,0))</f>
        <v>14.41</v>
      </c>
      <c r="E285" s="26">
        <v>6039</v>
      </c>
      <c r="F285" s="27">
        <v>4317</v>
      </c>
      <c r="G285" s="35">
        <f>_xlfn.XLOOKUP(A285,Bevölkerung!A:A,Bevölkerung!B:B)</f>
        <v>8139631</v>
      </c>
      <c r="H285" s="28">
        <f t="shared" si="27"/>
        <v>1885.4832059300441</v>
      </c>
      <c r="I285" s="24">
        <f t="shared" si="24"/>
        <v>772.27191413237927</v>
      </c>
      <c r="J285" s="32">
        <f t="shared" si="28"/>
        <v>1.3988881167477414</v>
      </c>
      <c r="K285" s="25">
        <f t="shared" si="29"/>
        <v>1722</v>
      </c>
    </row>
    <row r="286" spans="1:11" x14ac:dyDescent="0.3">
      <c r="A286" s="25">
        <f t="shared" si="25"/>
        <v>2013</v>
      </c>
      <c r="B286" s="25" t="s">
        <v>9</v>
      </c>
      <c r="C286" s="25" t="str">
        <f t="shared" si="26"/>
        <v>Herbst</v>
      </c>
      <c r="D286" s="25">
        <f>INDEX(Wetter!B:M,MATCH(A286,Wetter!A:A,0),MATCH(B286,Wetter!B$1:M$1,0))</f>
        <v>10.98</v>
      </c>
      <c r="E286" s="26">
        <v>4705</v>
      </c>
      <c r="F286" s="27">
        <v>4425</v>
      </c>
      <c r="G286" s="35">
        <f>_xlfn.XLOOKUP(A286,Bevölkerung!A:A,Bevölkerung!B:B)</f>
        <v>8139631</v>
      </c>
      <c r="H286" s="28">
        <f t="shared" si="27"/>
        <v>1839.4646327683615</v>
      </c>
      <c r="I286" s="24">
        <f t="shared" si="24"/>
        <v>490.57649667405769</v>
      </c>
      <c r="J286" s="32">
        <f t="shared" si="28"/>
        <v>1.0632768361581921</v>
      </c>
      <c r="K286" s="25">
        <f t="shared" si="29"/>
        <v>280</v>
      </c>
    </row>
    <row r="287" spans="1:11" x14ac:dyDescent="0.3">
      <c r="A287" s="25">
        <f t="shared" si="25"/>
        <v>2013</v>
      </c>
      <c r="B287" s="25" t="s">
        <v>10</v>
      </c>
      <c r="C287" s="25" t="str">
        <f t="shared" si="26"/>
        <v>Herbst</v>
      </c>
      <c r="D287" s="25">
        <f>INDEX(Wetter!B:M,MATCH(A287,Wetter!A:A,0),MATCH(B287,Wetter!B$1:M$1,0))</f>
        <v>7.95</v>
      </c>
      <c r="E287" s="26">
        <v>5706</v>
      </c>
      <c r="F287" s="27">
        <v>4841</v>
      </c>
      <c r="G287" s="35">
        <f>_xlfn.XLOOKUP(A287,Bevölkerung!A:A,Bevölkerung!B:B)</f>
        <v>8139631</v>
      </c>
      <c r="H287" s="28">
        <f t="shared" si="27"/>
        <v>1681.3945465812849</v>
      </c>
      <c r="I287" s="24">
        <f t="shared" si="24"/>
        <v>401.74273858921157</v>
      </c>
      <c r="J287" s="32">
        <f t="shared" si="28"/>
        <v>1.1786820904771742</v>
      </c>
      <c r="K287" s="25">
        <f t="shared" si="29"/>
        <v>865</v>
      </c>
    </row>
    <row r="288" spans="1:11" x14ac:dyDescent="0.3">
      <c r="A288" s="25">
        <f t="shared" si="25"/>
        <v>2013</v>
      </c>
      <c r="B288" s="25" t="s">
        <v>11</v>
      </c>
      <c r="C288" s="25" t="str">
        <f t="shared" si="26"/>
        <v>Herbst</v>
      </c>
      <c r="D288" s="25">
        <f>INDEX(Wetter!B:M,MATCH(A288,Wetter!A:A,0),MATCH(B288,Wetter!B$1:M$1,0))</f>
        <v>0.5</v>
      </c>
      <c r="E288" s="26">
        <v>6009</v>
      </c>
      <c r="F288" s="27">
        <v>5299</v>
      </c>
      <c r="G288" s="35">
        <f>_xlfn.XLOOKUP(A288,Bevölkerung!A:A,Bevölkerung!B:B)</f>
        <v>8139631</v>
      </c>
      <c r="H288" s="28">
        <f t="shared" si="27"/>
        <v>1536.0692583506323</v>
      </c>
      <c r="I288" s="24">
        <f t="shared" si="24"/>
        <v>271.74358974358972</v>
      </c>
      <c r="J288" s="32">
        <f t="shared" si="28"/>
        <v>1.1339875448197774</v>
      </c>
      <c r="K288" s="25">
        <f t="shared" si="29"/>
        <v>710</v>
      </c>
    </row>
    <row r="289" spans="1:11" x14ac:dyDescent="0.3">
      <c r="A289" s="25">
        <f t="shared" si="25"/>
        <v>2013</v>
      </c>
      <c r="B289" s="25" t="s">
        <v>12</v>
      </c>
      <c r="C289" s="25" t="str">
        <f t="shared" si="26"/>
        <v>Winter</v>
      </c>
      <c r="D289" s="25">
        <f>INDEX(Wetter!B:M,MATCH(A289,Wetter!A:A,0),MATCH(B289,Wetter!B$1:M$1,0))</f>
        <v>-0.44</v>
      </c>
      <c r="E289" s="26">
        <v>5699</v>
      </c>
      <c r="F289" s="27">
        <v>5622</v>
      </c>
      <c r="G289" s="35">
        <f>_xlfn.XLOOKUP(A289,Bevölkerung!A:A,Bevölkerung!B:B)</f>
        <v>8139631</v>
      </c>
      <c r="H289" s="28">
        <f t="shared" si="27"/>
        <v>1447.8176805407329</v>
      </c>
      <c r="I289" s="24">
        <f t="shared" si="24"/>
        <v>275.04892367906064</v>
      </c>
      <c r="J289" s="32">
        <f t="shared" si="28"/>
        <v>1.0136961935254358</v>
      </c>
      <c r="K289" s="25">
        <f t="shared" si="29"/>
        <v>77</v>
      </c>
    </row>
    <row r="290" spans="1:11" x14ac:dyDescent="0.3">
      <c r="A290" s="25">
        <f t="shared" si="25"/>
        <v>2014</v>
      </c>
      <c r="B290" s="25" t="s">
        <v>1</v>
      </c>
      <c r="C290" s="25" t="str">
        <f t="shared" si="26"/>
        <v>Winter</v>
      </c>
      <c r="D290" s="25">
        <f>INDEX(Wetter!B:M,MATCH(A290,Wetter!A:A,0),MATCH(B290,Wetter!B$1:M$1,0))</f>
        <v>-0.64</v>
      </c>
      <c r="E290" s="26">
        <v>5304</v>
      </c>
      <c r="F290" s="27">
        <v>5659</v>
      </c>
      <c r="G290" s="35">
        <f>_xlfn.XLOOKUP(A290,Bevölkerung!A:A,Bevölkerung!B:B)</f>
        <v>8237666</v>
      </c>
      <c r="H290" s="28">
        <f t="shared" si="27"/>
        <v>1455.6752076338576</v>
      </c>
      <c r="I290" s="24">
        <f t="shared" si="24"/>
        <v>274.1763565891473</v>
      </c>
      <c r="J290" s="32">
        <f t="shared" si="28"/>
        <v>0.93726806856335043</v>
      </c>
      <c r="K290" s="25">
        <f t="shared" si="29"/>
        <v>-355</v>
      </c>
    </row>
    <row r="291" spans="1:11" x14ac:dyDescent="0.3">
      <c r="A291" s="25">
        <f t="shared" si="25"/>
        <v>2014</v>
      </c>
      <c r="B291" s="25" t="s">
        <v>2</v>
      </c>
      <c r="C291" s="25" t="str">
        <f t="shared" si="26"/>
        <v>Winter</v>
      </c>
      <c r="D291" s="25">
        <f>INDEX(Wetter!B:M,MATCH(A291,Wetter!A:A,0),MATCH(B291,Wetter!B$1:M$1,0))</f>
        <v>-0.43</v>
      </c>
      <c r="E291" s="26">
        <v>5055</v>
      </c>
      <c r="F291" s="27">
        <v>5091</v>
      </c>
      <c r="G291" s="35">
        <f>_xlfn.XLOOKUP(A291,Bevölkerung!A:A,Bevölkerung!B:B)</f>
        <v>8237666</v>
      </c>
      <c r="H291" s="28">
        <f t="shared" si="27"/>
        <v>1618.0840699273226</v>
      </c>
      <c r="I291" s="24">
        <f t="shared" si="24"/>
        <v>249.19236417033775</v>
      </c>
      <c r="J291" s="32">
        <f t="shared" si="28"/>
        <v>0.99292869770182679</v>
      </c>
      <c r="K291" s="25">
        <f t="shared" si="29"/>
        <v>-36</v>
      </c>
    </row>
    <row r="292" spans="1:11" x14ac:dyDescent="0.3">
      <c r="A292" s="25">
        <f t="shared" si="25"/>
        <v>2014</v>
      </c>
      <c r="B292" s="25" t="s">
        <v>3</v>
      </c>
      <c r="C292" s="25" t="str">
        <f t="shared" si="26"/>
        <v>Frühling</v>
      </c>
      <c r="D292" s="25">
        <f>INDEX(Wetter!B:M,MATCH(A292,Wetter!A:A,0),MATCH(B292,Wetter!B$1:M$1,0))</f>
        <v>2.81</v>
      </c>
      <c r="E292" s="26">
        <v>5613</v>
      </c>
      <c r="F292" s="27">
        <v>5199</v>
      </c>
      <c r="G292" s="35">
        <f>_xlfn.XLOOKUP(A292,Bevölkerung!A:A,Bevölkerung!B:B)</f>
        <v>8237666</v>
      </c>
      <c r="H292" s="28">
        <f t="shared" si="27"/>
        <v>1584.4712444700904</v>
      </c>
      <c r="I292" s="24">
        <f t="shared" si="24"/>
        <v>302.44328097731238</v>
      </c>
      <c r="J292" s="32">
        <f t="shared" si="28"/>
        <v>1.0796306982111945</v>
      </c>
      <c r="K292" s="25">
        <f t="shared" si="29"/>
        <v>414</v>
      </c>
    </row>
    <row r="293" spans="1:11" x14ac:dyDescent="0.3">
      <c r="A293" s="25">
        <f t="shared" si="25"/>
        <v>2014</v>
      </c>
      <c r="B293" s="25" t="s">
        <v>4</v>
      </c>
      <c r="C293" s="25" t="str">
        <f t="shared" si="26"/>
        <v>Frühling</v>
      </c>
      <c r="D293" s="25">
        <f>INDEX(Wetter!B:M,MATCH(A293,Wetter!A:A,0),MATCH(B293,Wetter!B$1:M$1,0))</f>
        <v>6.13</v>
      </c>
      <c r="E293" s="26">
        <v>5508</v>
      </c>
      <c r="F293" s="27">
        <v>4476</v>
      </c>
      <c r="G293" s="35">
        <f>_xlfn.XLOOKUP(A293,Bevölkerung!A:A,Bevölkerung!B:B)</f>
        <v>8237666</v>
      </c>
      <c r="H293" s="28">
        <f t="shared" si="27"/>
        <v>1840.4079535299375</v>
      </c>
      <c r="I293" s="24">
        <f t="shared" si="24"/>
        <v>322.71088680605624</v>
      </c>
      <c r="J293" s="32">
        <f t="shared" si="28"/>
        <v>1.2305630026809651</v>
      </c>
      <c r="K293" s="25">
        <f t="shared" si="29"/>
        <v>1032</v>
      </c>
    </row>
    <row r="294" spans="1:11" x14ac:dyDescent="0.3">
      <c r="A294" s="25">
        <f t="shared" si="25"/>
        <v>2014</v>
      </c>
      <c r="B294" s="25" t="s">
        <v>5</v>
      </c>
      <c r="C294" s="25" t="str">
        <f t="shared" si="26"/>
        <v>Frühling</v>
      </c>
      <c r="D294" s="25">
        <f>INDEX(Wetter!B:M,MATCH(A294,Wetter!A:A,0),MATCH(B294,Wetter!B$1:M$1,0))</f>
        <v>7.73</v>
      </c>
      <c r="E294" s="26">
        <v>6292</v>
      </c>
      <c r="F294" s="27">
        <v>4518</v>
      </c>
      <c r="G294" s="35">
        <f>_xlfn.XLOOKUP(A294,Bevölkerung!A:A,Bevölkerung!B:B)</f>
        <v>8237666</v>
      </c>
      <c r="H294" s="28">
        <f t="shared" si="27"/>
        <v>1823.2992474546259</v>
      </c>
      <c r="I294" s="24">
        <f t="shared" si="24"/>
        <v>368.21515892420541</v>
      </c>
      <c r="J294" s="32">
        <f t="shared" si="28"/>
        <v>1.3926516157591855</v>
      </c>
      <c r="K294" s="25">
        <f t="shared" si="29"/>
        <v>1774</v>
      </c>
    </row>
    <row r="295" spans="1:11" x14ac:dyDescent="0.3">
      <c r="A295" s="25">
        <f t="shared" si="25"/>
        <v>2014</v>
      </c>
      <c r="B295" s="25" t="s">
        <v>6</v>
      </c>
      <c r="C295" s="25" t="str">
        <f t="shared" si="26"/>
        <v>Sommer</v>
      </c>
      <c r="D295" s="25">
        <f>INDEX(Wetter!B:M,MATCH(A295,Wetter!A:A,0),MATCH(B295,Wetter!B$1:M$1,0))</f>
        <v>13.16</v>
      </c>
      <c r="E295" s="26">
        <v>5943</v>
      </c>
      <c r="F295" s="27">
        <v>4240</v>
      </c>
      <c r="G295" s="35">
        <f>_xlfn.XLOOKUP(A295,Bevölkerung!A:A,Bevölkerung!B:B)</f>
        <v>8237666</v>
      </c>
      <c r="H295" s="28">
        <f t="shared" si="27"/>
        <v>1942.8457547169812</v>
      </c>
      <c r="I295" s="24">
        <f t="shared" si="24"/>
        <v>619.88304093567251</v>
      </c>
      <c r="J295" s="32">
        <f t="shared" si="28"/>
        <v>1.4016509433962263</v>
      </c>
      <c r="K295" s="25">
        <f t="shared" si="29"/>
        <v>1703</v>
      </c>
    </row>
    <row r="296" spans="1:11" x14ac:dyDescent="0.3">
      <c r="A296" s="25">
        <f t="shared" si="25"/>
        <v>2014</v>
      </c>
      <c r="B296" s="25" t="s">
        <v>7</v>
      </c>
      <c r="C296" s="25" t="str">
        <f t="shared" si="26"/>
        <v>Sommer</v>
      </c>
      <c r="D296" s="25">
        <f>INDEX(Wetter!B:M,MATCH(A296,Wetter!A:A,0),MATCH(B296,Wetter!B$1:M$1,0))</f>
        <v>13.33</v>
      </c>
      <c r="E296" s="26">
        <v>6889</v>
      </c>
      <c r="F296" s="27">
        <v>4299</v>
      </c>
      <c r="G296" s="35">
        <f>_xlfn.XLOOKUP(A296,Bevölkerung!A:A,Bevölkerung!B:B)</f>
        <v>8237666</v>
      </c>
      <c r="H296" s="28">
        <f t="shared" si="27"/>
        <v>1916.1819027680856</v>
      </c>
      <c r="I296" s="24">
        <f t="shared" si="24"/>
        <v>644.52773613193403</v>
      </c>
      <c r="J296" s="32">
        <f t="shared" si="28"/>
        <v>1.602465689695278</v>
      </c>
      <c r="K296" s="25">
        <f t="shared" si="29"/>
        <v>2590</v>
      </c>
    </row>
    <row r="297" spans="1:11" x14ac:dyDescent="0.3">
      <c r="A297" s="25">
        <f t="shared" si="25"/>
        <v>2014</v>
      </c>
      <c r="B297" s="25" t="s">
        <v>8</v>
      </c>
      <c r="C297" s="25" t="str">
        <f t="shared" si="26"/>
        <v>Sommer</v>
      </c>
      <c r="D297" s="25">
        <f>INDEX(Wetter!B:M,MATCH(A297,Wetter!A:A,0),MATCH(B297,Wetter!B$1:M$1,0))</f>
        <v>12.1</v>
      </c>
      <c r="E297" s="26">
        <v>5915</v>
      </c>
      <c r="F297" s="27">
        <v>4239</v>
      </c>
      <c r="G297" s="35">
        <f>_xlfn.XLOOKUP(A297,Bevölkerung!A:A,Bevölkerung!B:B)</f>
        <v>8237666</v>
      </c>
      <c r="H297" s="28">
        <f t="shared" si="27"/>
        <v>1943.3040811512149</v>
      </c>
      <c r="I297" s="24">
        <f t="shared" si="24"/>
        <v>536.58227848101262</v>
      </c>
      <c r="J297" s="32">
        <f t="shared" si="28"/>
        <v>1.3953762679877331</v>
      </c>
      <c r="K297" s="25">
        <f t="shared" si="29"/>
        <v>1676</v>
      </c>
    </row>
    <row r="298" spans="1:11" x14ac:dyDescent="0.3">
      <c r="A298" s="25">
        <f t="shared" si="25"/>
        <v>2014</v>
      </c>
      <c r="B298" s="25" t="s">
        <v>9</v>
      </c>
      <c r="C298" s="25" t="str">
        <f t="shared" si="26"/>
        <v>Herbst</v>
      </c>
      <c r="D298" s="25">
        <f>INDEX(Wetter!B:M,MATCH(A298,Wetter!A:A,0),MATCH(B298,Wetter!B$1:M$1,0))</f>
        <v>11.2</v>
      </c>
      <c r="E298" s="26">
        <v>5439</v>
      </c>
      <c r="F298" s="27">
        <v>4443</v>
      </c>
      <c r="G298" s="35">
        <f>_xlfn.XLOOKUP(A298,Bevölkerung!A:A,Bevölkerung!B:B)</f>
        <v>8237666</v>
      </c>
      <c r="H298" s="28">
        <f t="shared" si="27"/>
        <v>1854.0774251631781</v>
      </c>
      <c r="I298" s="24">
        <f t="shared" si="24"/>
        <v>504.88636363636357</v>
      </c>
      <c r="J298" s="32">
        <f t="shared" si="28"/>
        <v>1.2241728561782579</v>
      </c>
      <c r="K298" s="25">
        <f t="shared" si="29"/>
        <v>996</v>
      </c>
    </row>
    <row r="299" spans="1:11" x14ac:dyDescent="0.3">
      <c r="A299" s="25">
        <f t="shared" si="25"/>
        <v>2014</v>
      </c>
      <c r="B299" s="25" t="s">
        <v>10</v>
      </c>
      <c r="C299" s="25" t="str">
        <f t="shared" si="26"/>
        <v>Herbst</v>
      </c>
      <c r="D299" s="25">
        <f>INDEX(Wetter!B:M,MATCH(A299,Wetter!A:A,0),MATCH(B299,Wetter!B$1:M$1,0))</f>
        <v>8.7799999999999994</v>
      </c>
      <c r="E299" s="26">
        <v>5748</v>
      </c>
      <c r="F299" s="27">
        <v>4797</v>
      </c>
      <c r="G299" s="35">
        <f>_xlfn.XLOOKUP(A299,Bevölkerung!A:A,Bevölkerung!B:B)</f>
        <v>8237666</v>
      </c>
      <c r="H299" s="28">
        <f t="shared" si="27"/>
        <v>1717.25370022931</v>
      </c>
      <c r="I299" s="24">
        <f t="shared" si="24"/>
        <v>427.54010695187162</v>
      </c>
      <c r="J299" s="32">
        <f t="shared" si="28"/>
        <v>1.1982489055659786</v>
      </c>
      <c r="K299" s="25">
        <f t="shared" si="29"/>
        <v>951</v>
      </c>
    </row>
    <row r="300" spans="1:11" x14ac:dyDescent="0.3">
      <c r="A300" s="25">
        <f t="shared" si="25"/>
        <v>2014</v>
      </c>
      <c r="B300" s="25" t="s">
        <v>11</v>
      </c>
      <c r="C300" s="25" t="str">
        <f t="shared" si="26"/>
        <v>Herbst</v>
      </c>
      <c r="D300" s="25">
        <f>INDEX(Wetter!B:M,MATCH(A300,Wetter!A:A,0),MATCH(B300,Wetter!B$1:M$1,0))</f>
        <v>4.33</v>
      </c>
      <c r="E300" s="26">
        <v>5963</v>
      </c>
      <c r="F300" s="27">
        <v>5029</v>
      </c>
      <c r="G300" s="35">
        <f>_xlfn.XLOOKUP(A300,Bevölkerung!A:A,Bevölkerung!B:B)</f>
        <v>8237666</v>
      </c>
      <c r="H300" s="28">
        <f t="shared" si="27"/>
        <v>1638.0326108570293</v>
      </c>
      <c r="I300" s="24">
        <f t="shared" si="24"/>
        <v>320.93171665603063</v>
      </c>
      <c r="J300" s="32">
        <f t="shared" si="28"/>
        <v>1.1857228077152515</v>
      </c>
      <c r="K300" s="25">
        <f t="shared" si="29"/>
        <v>934</v>
      </c>
    </row>
    <row r="301" spans="1:11" x14ac:dyDescent="0.3">
      <c r="A301" s="25">
        <f t="shared" si="25"/>
        <v>2014</v>
      </c>
      <c r="B301" s="25" t="s">
        <v>12</v>
      </c>
      <c r="C301" s="25" t="str">
        <f t="shared" si="26"/>
        <v>Winter</v>
      </c>
      <c r="D301" s="25">
        <f>INDEX(Wetter!B:M,MATCH(A301,Wetter!A:A,0),MATCH(B301,Wetter!B$1:M$1,0))</f>
        <v>-0.36</v>
      </c>
      <c r="E301" s="26">
        <v>5964</v>
      </c>
      <c r="F301" s="27">
        <v>5476</v>
      </c>
      <c r="G301" s="35">
        <f>_xlfn.XLOOKUP(A301,Bevölkerung!A:A,Bevölkerung!B:B)</f>
        <v>8237666</v>
      </c>
      <c r="H301" s="28">
        <f t="shared" si="27"/>
        <v>1504.3217677136597</v>
      </c>
      <c r="I301" s="24">
        <f t="shared" si="24"/>
        <v>268.958742632613</v>
      </c>
      <c r="J301" s="32">
        <f t="shared" si="28"/>
        <v>1.0891161431701972</v>
      </c>
      <c r="K301" s="25">
        <f t="shared" si="29"/>
        <v>488</v>
      </c>
    </row>
    <row r="302" spans="1:11" x14ac:dyDescent="0.3">
      <c r="A302" s="25">
        <f t="shared" si="25"/>
        <v>2015</v>
      </c>
      <c r="B302" s="25" t="s">
        <v>1</v>
      </c>
      <c r="C302" s="25" t="str">
        <f t="shared" si="26"/>
        <v>Winter</v>
      </c>
      <c r="D302" s="25">
        <f>INDEX(Wetter!B:M,MATCH(A302,Wetter!A:A,0),MATCH(B302,Wetter!B$1:M$1,0))</f>
        <v>-1.66</v>
      </c>
      <c r="E302" s="27">
        <v>5907</v>
      </c>
      <c r="F302" s="27">
        <v>5800</v>
      </c>
      <c r="G302" s="35">
        <f>_xlfn.XLOOKUP(A302,Bevölkerung!A:A,Bevölkerung!B:B)</f>
        <v>8327126</v>
      </c>
      <c r="H302" s="28">
        <f t="shared" si="27"/>
        <v>1435.7113793103449</v>
      </c>
      <c r="I302" s="24">
        <f t="shared" si="24"/>
        <v>267.77469990766389</v>
      </c>
      <c r="J302" s="32">
        <f t="shared" si="28"/>
        <v>1.018448275862069</v>
      </c>
      <c r="K302" s="25">
        <f t="shared" si="29"/>
        <v>107</v>
      </c>
    </row>
    <row r="303" spans="1:11" x14ac:dyDescent="0.3">
      <c r="A303" s="25">
        <f t="shared" si="25"/>
        <v>2015</v>
      </c>
      <c r="B303" s="25" t="s">
        <v>2</v>
      </c>
      <c r="C303" s="25" t="str">
        <f t="shared" si="26"/>
        <v>Winter</v>
      </c>
      <c r="D303" s="25">
        <f>INDEX(Wetter!B:M,MATCH(A303,Wetter!A:A,0),MATCH(B303,Wetter!B$1:M$1,0))</f>
        <v>-3.21</v>
      </c>
      <c r="E303" s="27">
        <v>5489</v>
      </c>
      <c r="F303" s="27">
        <v>5397</v>
      </c>
      <c r="G303" s="35">
        <f>_xlfn.XLOOKUP(A303,Bevölkerung!A:A,Bevölkerung!B:B)</f>
        <v>8327126</v>
      </c>
      <c r="H303" s="28">
        <f t="shared" si="27"/>
        <v>1542.917546785251</v>
      </c>
      <c r="I303" s="24">
        <f t="shared" si="24"/>
        <v>232.52908229211545</v>
      </c>
      <c r="J303" s="32">
        <f t="shared" si="28"/>
        <v>1.0170465073188808</v>
      </c>
      <c r="K303" s="25">
        <f t="shared" si="29"/>
        <v>92</v>
      </c>
    </row>
    <row r="304" spans="1:11" x14ac:dyDescent="0.3">
      <c r="A304" s="25">
        <f t="shared" si="25"/>
        <v>2015</v>
      </c>
      <c r="B304" s="25" t="s">
        <v>3</v>
      </c>
      <c r="C304" s="25" t="str">
        <f t="shared" si="26"/>
        <v>Frühling</v>
      </c>
      <c r="D304" s="25">
        <f>INDEX(Wetter!B:M,MATCH(A304,Wetter!A:A,0),MATCH(B304,Wetter!B$1:M$1,0))</f>
        <v>2.04</v>
      </c>
      <c r="E304" s="27">
        <v>5162</v>
      </c>
      <c r="F304" s="27">
        <v>5287</v>
      </c>
      <c r="G304" s="35">
        <f>_xlfn.XLOOKUP(A304,Bevölkerung!A:A,Bevölkerung!B:B)</f>
        <v>8327126</v>
      </c>
      <c r="H304" s="28">
        <f t="shared" si="27"/>
        <v>1575.0191034613201</v>
      </c>
      <c r="I304" s="24">
        <f t="shared" si="24"/>
        <v>294.37639198218261</v>
      </c>
      <c r="J304" s="32">
        <f t="shared" si="28"/>
        <v>0.97635710232646111</v>
      </c>
      <c r="K304" s="25">
        <f t="shared" si="29"/>
        <v>-125</v>
      </c>
    </row>
    <row r="305" spans="1:11" x14ac:dyDescent="0.3">
      <c r="A305" s="25">
        <f t="shared" si="25"/>
        <v>2015</v>
      </c>
      <c r="B305" s="25" t="s">
        <v>4</v>
      </c>
      <c r="C305" s="25" t="str">
        <f t="shared" si="26"/>
        <v>Frühling</v>
      </c>
      <c r="D305" s="25">
        <f>INDEX(Wetter!B:M,MATCH(A305,Wetter!A:A,0),MATCH(B305,Wetter!B$1:M$1,0))</f>
        <v>5.34</v>
      </c>
      <c r="E305" s="27">
        <v>5048</v>
      </c>
      <c r="F305" s="27">
        <v>4570</v>
      </c>
      <c r="G305" s="35">
        <f>_xlfn.XLOOKUP(A305,Bevölkerung!A:A,Bevölkerung!B:B)</f>
        <v>8327126</v>
      </c>
      <c r="H305" s="28">
        <f t="shared" si="27"/>
        <v>1822.128227571116</v>
      </c>
      <c r="I305" s="24">
        <f t="shared" si="24"/>
        <v>311.73260572987721</v>
      </c>
      <c r="J305" s="32">
        <f t="shared" si="28"/>
        <v>1.1045951859956236</v>
      </c>
      <c r="K305" s="25">
        <f t="shared" si="29"/>
        <v>478</v>
      </c>
    </row>
    <row r="306" spans="1:11" x14ac:dyDescent="0.3">
      <c r="A306" s="25">
        <f t="shared" si="25"/>
        <v>2015</v>
      </c>
      <c r="B306" s="25" t="s">
        <v>5</v>
      </c>
      <c r="C306" s="25" t="str">
        <f t="shared" si="26"/>
        <v>Frühling</v>
      </c>
      <c r="D306" s="25">
        <f>INDEX(Wetter!B:M,MATCH(A306,Wetter!A:A,0),MATCH(B306,Wetter!B$1:M$1,0))</f>
        <v>9.2899999999999991</v>
      </c>
      <c r="E306" s="27">
        <v>6599</v>
      </c>
      <c r="F306" s="27">
        <v>4410</v>
      </c>
      <c r="G306" s="35">
        <f>_xlfn.XLOOKUP(A306,Bevölkerung!A:A,Bevölkerung!B:B)</f>
        <v>8327126</v>
      </c>
      <c r="H306" s="28">
        <f t="shared" si="27"/>
        <v>1888.2371882086168</v>
      </c>
      <c r="I306" s="24">
        <f t="shared" si="24"/>
        <v>411.76470588235293</v>
      </c>
      <c r="J306" s="32">
        <f t="shared" si="28"/>
        <v>1.4963718820861678</v>
      </c>
      <c r="K306" s="25">
        <f t="shared" si="29"/>
        <v>2189</v>
      </c>
    </row>
    <row r="307" spans="1:11" x14ac:dyDescent="0.3">
      <c r="A307" s="25">
        <f t="shared" si="25"/>
        <v>2015</v>
      </c>
      <c r="B307" s="25" t="s">
        <v>6</v>
      </c>
      <c r="C307" s="25" t="str">
        <f t="shared" si="26"/>
        <v>Sommer</v>
      </c>
      <c r="D307" s="25">
        <f>INDEX(Wetter!B:M,MATCH(A307,Wetter!A:A,0),MATCH(B307,Wetter!B$1:M$1,0))</f>
        <v>13.6</v>
      </c>
      <c r="E307" s="27">
        <v>6414</v>
      </c>
      <c r="F307" s="27">
        <v>4308</v>
      </c>
      <c r="G307" s="35">
        <f>_xlfn.XLOOKUP(A307,Bevölkerung!A:A,Bevölkerung!B:B)</f>
        <v>8327126</v>
      </c>
      <c r="H307" s="28">
        <f t="shared" si="27"/>
        <v>1932.9447539461466</v>
      </c>
      <c r="I307" s="24">
        <f t="shared" si="24"/>
        <v>673.125</v>
      </c>
      <c r="J307" s="32">
        <f t="shared" si="28"/>
        <v>1.4888579387186629</v>
      </c>
      <c r="K307" s="25">
        <f t="shared" si="29"/>
        <v>2106</v>
      </c>
    </row>
    <row r="308" spans="1:11" x14ac:dyDescent="0.3">
      <c r="A308" s="25">
        <f t="shared" si="25"/>
        <v>2015</v>
      </c>
      <c r="B308" s="25" t="s">
        <v>7</v>
      </c>
      <c r="C308" s="25" t="str">
        <f t="shared" si="26"/>
        <v>Sommer</v>
      </c>
      <c r="D308" s="25">
        <f>INDEX(Wetter!B:M,MATCH(A308,Wetter!A:A,0),MATCH(B308,Wetter!B$1:M$1,0))</f>
        <v>17.75</v>
      </c>
      <c r="E308" s="27">
        <v>6572</v>
      </c>
      <c r="F308" s="27">
        <v>4338</v>
      </c>
      <c r="G308" s="35">
        <f>_xlfn.XLOOKUP(A308,Bevölkerung!A:A,Bevölkerung!B:B)</f>
        <v>8327126</v>
      </c>
      <c r="H308" s="28">
        <f t="shared" si="27"/>
        <v>1919.577224527432</v>
      </c>
      <c r="I308" s="24">
        <f t="shared" si="24"/>
        <v>1928</v>
      </c>
      <c r="J308" s="32">
        <f t="shared" si="28"/>
        <v>1.5149838635315813</v>
      </c>
      <c r="K308" s="25">
        <f t="shared" si="29"/>
        <v>2234</v>
      </c>
    </row>
    <row r="309" spans="1:11" x14ac:dyDescent="0.3">
      <c r="A309" s="25">
        <f t="shared" si="25"/>
        <v>2015</v>
      </c>
      <c r="B309" s="25" t="s">
        <v>8</v>
      </c>
      <c r="C309" s="25" t="str">
        <f t="shared" si="26"/>
        <v>Sommer</v>
      </c>
      <c r="D309" s="25">
        <f>INDEX(Wetter!B:M,MATCH(A309,Wetter!A:A,0),MATCH(B309,Wetter!B$1:M$1,0))</f>
        <v>15.57</v>
      </c>
      <c r="E309" s="27">
        <v>4893</v>
      </c>
      <c r="F309" s="27">
        <v>4299</v>
      </c>
      <c r="G309" s="35">
        <f>_xlfn.XLOOKUP(A309,Bevölkerung!A:A,Bevölkerung!B:B)</f>
        <v>8327126</v>
      </c>
      <c r="H309" s="28">
        <f t="shared" si="27"/>
        <v>1936.9913933472901</v>
      </c>
      <c r="I309" s="24">
        <f t="shared" si="24"/>
        <v>970.4288939051919</v>
      </c>
      <c r="J309" s="32">
        <f t="shared" si="28"/>
        <v>1.1381716678297278</v>
      </c>
      <c r="K309" s="25">
        <f t="shared" si="29"/>
        <v>594</v>
      </c>
    </row>
    <row r="310" spans="1:11" x14ac:dyDescent="0.3">
      <c r="A310" s="25">
        <f t="shared" si="25"/>
        <v>2015</v>
      </c>
      <c r="B310" s="25" t="s">
        <v>9</v>
      </c>
      <c r="C310" s="25" t="str">
        <f t="shared" si="26"/>
        <v>Herbst</v>
      </c>
      <c r="D310" s="25">
        <f>INDEX(Wetter!B:M,MATCH(A310,Wetter!A:A,0),MATCH(B310,Wetter!B$1:M$1,0))</f>
        <v>9.07</v>
      </c>
      <c r="E310" s="27">
        <v>4833</v>
      </c>
      <c r="F310" s="27">
        <v>4487</v>
      </c>
      <c r="G310" s="35">
        <f>_xlfn.XLOOKUP(A310,Bevölkerung!A:A,Bevölkerung!B:B)</f>
        <v>8327126</v>
      </c>
      <c r="H310" s="28">
        <f t="shared" si="27"/>
        <v>1855.8337419211055</v>
      </c>
      <c r="I310" s="24">
        <f t="shared" si="24"/>
        <v>410.52150045745657</v>
      </c>
      <c r="J310" s="32">
        <f t="shared" si="28"/>
        <v>1.0771116558948073</v>
      </c>
      <c r="K310" s="25">
        <f t="shared" si="29"/>
        <v>346</v>
      </c>
    </row>
    <row r="311" spans="1:11" x14ac:dyDescent="0.3">
      <c r="A311" s="25">
        <f t="shared" si="25"/>
        <v>2015</v>
      </c>
      <c r="B311" s="25" t="s">
        <v>10</v>
      </c>
      <c r="C311" s="25" t="str">
        <f t="shared" si="26"/>
        <v>Herbst</v>
      </c>
      <c r="D311" s="25">
        <f>INDEX(Wetter!B:M,MATCH(A311,Wetter!A:A,0),MATCH(B311,Wetter!B$1:M$1,0))</f>
        <v>5.88</v>
      </c>
      <c r="E311" s="26">
        <v>5143</v>
      </c>
      <c r="F311" s="27">
        <v>4898</v>
      </c>
      <c r="G311" s="35">
        <f>_xlfn.XLOOKUP(A311,Bevölkerung!A:A,Bevölkerung!B:B)</f>
        <v>8327126</v>
      </c>
      <c r="H311" s="28">
        <f t="shared" si="27"/>
        <v>1700.1073907717437</v>
      </c>
      <c r="I311" s="24">
        <f t="shared" si="24"/>
        <v>346.88385269121812</v>
      </c>
      <c r="J311" s="32">
        <f t="shared" si="28"/>
        <v>1.0500204164965292</v>
      </c>
      <c r="K311" s="25">
        <f t="shared" si="29"/>
        <v>245</v>
      </c>
    </row>
    <row r="312" spans="1:11" x14ac:dyDescent="0.3">
      <c r="A312" s="25">
        <f t="shared" si="25"/>
        <v>2015</v>
      </c>
      <c r="B312" s="25" t="s">
        <v>11</v>
      </c>
      <c r="C312" s="25" t="str">
        <f t="shared" si="26"/>
        <v>Herbst</v>
      </c>
      <c r="D312" s="25">
        <f>INDEX(Wetter!B:M,MATCH(A312,Wetter!A:A,0),MATCH(B312,Wetter!B$1:M$1,0))</f>
        <v>4.16</v>
      </c>
      <c r="E312" s="26">
        <v>5041</v>
      </c>
      <c r="F312" s="27">
        <v>5069</v>
      </c>
      <c r="G312" s="35">
        <f>_xlfn.XLOOKUP(A312,Bevölkerung!A:A,Bevölkerung!B:B)</f>
        <v>8327126</v>
      </c>
      <c r="H312" s="28">
        <f t="shared" si="27"/>
        <v>1642.7551785362004</v>
      </c>
      <c r="I312" s="24">
        <f t="shared" si="24"/>
        <v>320.01262626262627</v>
      </c>
      <c r="J312" s="32">
        <f t="shared" si="28"/>
        <v>0.99447622805287039</v>
      </c>
      <c r="K312" s="25">
        <f t="shared" si="29"/>
        <v>-28</v>
      </c>
    </row>
    <row r="313" spans="1:11" x14ac:dyDescent="0.3">
      <c r="A313" s="25">
        <f t="shared" si="25"/>
        <v>2015</v>
      </c>
      <c r="B313" s="25" t="s">
        <v>12</v>
      </c>
      <c r="C313" s="25" t="str">
        <f t="shared" si="26"/>
        <v>Winter</v>
      </c>
      <c r="D313" s="25">
        <f>INDEX(Wetter!B:M,MATCH(A313,Wetter!A:A,0),MATCH(B313,Wetter!B$1:M$1,0))</f>
        <v>2.2400000000000002</v>
      </c>
      <c r="E313" s="26">
        <v>4856</v>
      </c>
      <c r="F313" s="27">
        <v>5383</v>
      </c>
      <c r="G313" s="35">
        <f>_xlfn.XLOOKUP(A313,Bevölkerung!A:A,Bevölkerung!B:B)</f>
        <v>8327126</v>
      </c>
      <c r="H313" s="28">
        <f t="shared" si="27"/>
        <v>1546.9303362437302</v>
      </c>
      <c r="I313" s="24">
        <f t="shared" si="24"/>
        <v>303.09684684684686</v>
      </c>
      <c r="J313" s="32">
        <f t="shared" si="28"/>
        <v>0.90209920118892806</v>
      </c>
      <c r="K313" s="25">
        <f t="shared" si="29"/>
        <v>-527</v>
      </c>
    </row>
    <row r="314" spans="1:11" x14ac:dyDescent="0.3">
      <c r="A314" s="25">
        <f t="shared" si="25"/>
        <v>2016</v>
      </c>
      <c r="B314" s="25" t="s">
        <v>1</v>
      </c>
      <c r="C314" s="25" t="str">
        <f t="shared" si="26"/>
        <v>Winter</v>
      </c>
      <c r="D314" s="25">
        <f>INDEX(Wetter!B:M,MATCH(A314,Wetter!A:A,0),MATCH(B314,Wetter!B$1:M$1,0))</f>
        <v>-1.1100000000000001</v>
      </c>
      <c r="E314" s="27">
        <v>4867</v>
      </c>
      <c r="F314" s="27">
        <v>5655</v>
      </c>
      <c r="G314" s="35">
        <f>_xlfn.XLOOKUP(A314,Bevölkerung!A:A,Bevölkerung!B:B)</f>
        <v>8419550</v>
      </c>
      <c r="H314" s="28">
        <f t="shared" si="27"/>
        <v>1488.8682581786029</v>
      </c>
      <c r="I314" s="24">
        <f t="shared" si="24"/>
        <v>267.88252013263855</v>
      </c>
      <c r="J314" s="32">
        <f t="shared" si="28"/>
        <v>0.86065428824049517</v>
      </c>
      <c r="K314" s="25">
        <f t="shared" si="29"/>
        <v>-788</v>
      </c>
    </row>
    <row r="315" spans="1:11" x14ac:dyDescent="0.3">
      <c r="A315" s="25">
        <f t="shared" si="25"/>
        <v>2016</v>
      </c>
      <c r="B315" s="25" t="s">
        <v>2</v>
      </c>
      <c r="C315" s="25" t="str">
        <f t="shared" si="26"/>
        <v>Winter</v>
      </c>
      <c r="D315" s="25">
        <f>INDEX(Wetter!B:M,MATCH(A315,Wetter!A:A,0),MATCH(B315,Wetter!B$1:M$1,0))</f>
        <v>-0.18</v>
      </c>
      <c r="E315" s="27">
        <v>4909</v>
      </c>
      <c r="F315" s="27">
        <v>5278</v>
      </c>
      <c r="G315" s="35">
        <f>_xlfn.XLOOKUP(A315,Bevölkerung!A:A,Bevölkerung!B:B)</f>
        <v>8419550</v>
      </c>
      <c r="H315" s="28">
        <f t="shared" si="27"/>
        <v>1595.2159909056461</v>
      </c>
      <c r="I315" s="24">
        <f t="shared" si="24"/>
        <v>261.54608523290386</v>
      </c>
      <c r="J315" s="32">
        <f t="shared" si="28"/>
        <v>0.93008715422508526</v>
      </c>
      <c r="K315" s="25">
        <f t="shared" si="29"/>
        <v>-369</v>
      </c>
    </row>
    <row r="316" spans="1:11" x14ac:dyDescent="0.3">
      <c r="A316" s="25">
        <f t="shared" si="25"/>
        <v>2016</v>
      </c>
      <c r="B316" s="25" t="s">
        <v>3</v>
      </c>
      <c r="C316" s="25" t="str">
        <f t="shared" si="26"/>
        <v>Frühling</v>
      </c>
      <c r="D316" s="25">
        <f>INDEX(Wetter!B:M,MATCH(A316,Wetter!A:A,0),MATCH(B316,Wetter!B$1:M$1,0))</f>
        <v>0.16</v>
      </c>
      <c r="E316" s="27">
        <v>5019</v>
      </c>
      <c r="F316" s="27">
        <v>5356</v>
      </c>
      <c r="G316" s="35">
        <f>_xlfn.XLOOKUP(A316,Bevölkerung!A:A,Bevölkerung!B:B)</f>
        <v>8419550</v>
      </c>
      <c r="H316" s="28">
        <f t="shared" si="27"/>
        <v>1571.9846900672144</v>
      </c>
      <c r="I316" s="24">
        <f t="shared" si="24"/>
        <v>269.95967741935482</v>
      </c>
      <c r="J316" s="32">
        <f t="shared" si="28"/>
        <v>0.93707991038088123</v>
      </c>
      <c r="K316" s="25">
        <f t="shared" si="29"/>
        <v>-337</v>
      </c>
    </row>
    <row r="317" spans="1:11" x14ac:dyDescent="0.3">
      <c r="A317" s="25">
        <f t="shared" si="25"/>
        <v>2016</v>
      </c>
      <c r="B317" s="25" t="s">
        <v>4</v>
      </c>
      <c r="C317" s="25" t="str">
        <f t="shared" si="26"/>
        <v>Frühling</v>
      </c>
      <c r="D317" s="25">
        <f>INDEX(Wetter!B:M,MATCH(A317,Wetter!A:A,0),MATCH(B317,Wetter!B$1:M$1,0))</f>
        <v>4.59</v>
      </c>
      <c r="E317" s="27">
        <v>5462</v>
      </c>
      <c r="F317" s="27">
        <v>4643</v>
      </c>
      <c r="G317" s="35">
        <f>_xlfn.XLOOKUP(A317,Bevölkerung!A:A,Bevölkerung!B:B)</f>
        <v>8419550</v>
      </c>
      <c r="H317" s="28">
        <f t="shared" si="27"/>
        <v>1813.38574197717</v>
      </c>
      <c r="I317" s="24">
        <f t="shared" si="24"/>
        <v>301.29785853341986</v>
      </c>
      <c r="J317" s="32">
        <f t="shared" si="28"/>
        <v>1.1763945724746931</v>
      </c>
      <c r="K317" s="25">
        <f t="shared" si="29"/>
        <v>819</v>
      </c>
    </row>
    <row r="318" spans="1:11" x14ac:dyDescent="0.3">
      <c r="A318" s="25">
        <f t="shared" si="25"/>
        <v>2016</v>
      </c>
      <c r="B318" s="25" t="s">
        <v>5</v>
      </c>
      <c r="C318" s="25" t="str">
        <f t="shared" si="26"/>
        <v>Frühling</v>
      </c>
      <c r="D318" s="25">
        <f>INDEX(Wetter!B:M,MATCH(A318,Wetter!A:A,0),MATCH(B318,Wetter!B$1:M$1,0))</f>
        <v>7.9</v>
      </c>
      <c r="E318" s="27">
        <v>5942</v>
      </c>
      <c r="F318" s="27">
        <v>4472</v>
      </c>
      <c r="G318" s="35">
        <f>_xlfn.XLOOKUP(A318,Bevölkerung!A:A,Bevölkerung!B:B)</f>
        <v>8419550</v>
      </c>
      <c r="H318" s="28">
        <f t="shared" si="27"/>
        <v>1882.7258497316636</v>
      </c>
      <c r="I318" s="24">
        <f t="shared" si="24"/>
        <v>369.58677685950414</v>
      </c>
      <c r="J318" s="32">
        <f t="shared" si="28"/>
        <v>1.3287119856887299</v>
      </c>
      <c r="K318" s="25">
        <f t="shared" si="29"/>
        <v>1470</v>
      </c>
    </row>
    <row r="319" spans="1:11" x14ac:dyDescent="0.3">
      <c r="A319" s="25">
        <f t="shared" si="25"/>
        <v>2016</v>
      </c>
      <c r="B319" s="25" t="s">
        <v>6</v>
      </c>
      <c r="C319" s="25" t="str">
        <f t="shared" si="26"/>
        <v>Sommer</v>
      </c>
      <c r="D319" s="25">
        <f>INDEX(Wetter!B:M,MATCH(A319,Wetter!A:A,0),MATCH(B319,Wetter!B$1:M$1,0))</f>
        <v>11.99</v>
      </c>
      <c r="E319" s="27">
        <v>6423</v>
      </c>
      <c r="F319" s="27">
        <v>4304</v>
      </c>
      <c r="G319" s="35">
        <f>_xlfn.XLOOKUP(A319,Bevölkerung!A:A,Bevölkerung!B:B)</f>
        <v>8419550</v>
      </c>
      <c r="H319" s="28">
        <f t="shared" si="27"/>
        <v>1956.2151486988848</v>
      </c>
      <c r="I319" s="24">
        <f t="shared" si="24"/>
        <v>537.32833957553055</v>
      </c>
      <c r="J319" s="32">
        <f t="shared" si="28"/>
        <v>1.4923327137546469</v>
      </c>
      <c r="K319" s="25">
        <f t="shared" si="29"/>
        <v>2119</v>
      </c>
    </row>
    <row r="320" spans="1:11" x14ac:dyDescent="0.3">
      <c r="A320" s="25">
        <f t="shared" si="25"/>
        <v>2016</v>
      </c>
      <c r="B320" s="25" t="s">
        <v>7</v>
      </c>
      <c r="C320" s="25" t="str">
        <f t="shared" si="26"/>
        <v>Sommer</v>
      </c>
      <c r="D320" s="25">
        <f>INDEX(Wetter!B:M,MATCH(A320,Wetter!A:A,0),MATCH(B320,Wetter!B$1:M$1,0))</f>
        <v>15.09</v>
      </c>
      <c r="E320" s="27">
        <v>6680</v>
      </c>
      <c r="F320" s="27">
        <v>4195</v>
      </c>
      <c r="G320" s="35">
        <f>_xlfn.XLOOKUP(A320,Bevölkerung!A:A,Bevölkerung!B:B)</f>
        <v>8419550</v>
      </c>
      <c r="H320" s="28">
        <f t="shared" si="27"/>
        <v>2007.0441001191896</v>
      </c>
      <c r="I320" s="24">
        <f t="shared" si="24"/>
        <v>854.37881873727088</v>
      </c>
      <c r="J320" s="32">
        <f t="shared" si="28"/>
        <v>1.5923718712753279</v>
      </c>
      <c r="K320" s="25">
        <f t="shared" si="29"/>
        <v>2485</v>
      </c>
    </row>
    <row r="321" spans="1:11" x14ac:dyDescent="0.3">
      <c r="A321" s="25">
        <f t="shared" si="25"/>
        <v>2016</v>
      </c>
      <c r="B321" s="25" t="s">
        <v>8</v>
      </c>
      <c r="C321" s="25" t="str">
        <f t="shared" si="26"/>
        <v>Sommer</v>
      </c>
      <c r="D321" s="25">
        <f>INDEX(Wetter!B:M,MATCH(A321,Wetter!A:A,0),MATCH(B321,Wetter!B$1:M$1,0))</f>
        <v>14.8</v>
      </c>
      <c r="E321" s="27">
        <v>4986</v>
      </c>
      <c r="F321" s="27">
        <v>4230</v>
      </c>
      <c r="G321" s="35">
        <f>_xlfn.XLOOKUP(A321,Bevölkerung!A:A,Bevölkerung!B:B)</f>
        <v>8419550</v>
      </c>
      <c r="H321" s="28">
        <f t="shared" si="27"/>
        <v>1990.4373522458629</v>
      </c>
      <c r="I321" s="24">
        <f t="shared" si="24"/>
        <v>813.46153846153857</v>
      </c>
      <c r="J321" s="32">
        <f t="shared" si="28"/>
        <v>1.1787234042553192</v>
      </c>
      <c r="K321" s="25">
        <f t="shared" si="29"/>
        <v>756</v>
      </c>
    </row>
    <row r="322" spans="1:11" x14ac:dyDescent="0.3">
      <c r="A322" s="25">
        <f t="shared" si="25"/>
        <v>2016</v>
      </c>
      <c r="B322" s="25" t="s">
        <v>9</v>
      </c>
      <c r="C322" s="25" t="str">
        <f t="shared" si="26"/>
        <v>Herbst</v>
      </c>
      <c r="D322" s="25">
        <f>INDEX(Wetter!B:M,MATCH(A322,Wetter!A:A,0),MATCH(B322,Wetter!B$1:M$1,0))</f>
        <v>12.55</v>
      </c>
      <c r="E322" s="27">
        <v>4748</v>
      </c>
      <c r="F322" s="27">
        <v>4330</v>
      </c>
      <c r="G322" s="35">
        <f>_xlfn.XLOOKUP(A322,Bevölkerung!A:A,Bevölkerung!B:B)</f>
        <v>8419550</v>
      </c>
      <c r="H322" s="28">
        <f t="shared" si="27"/>
        <v>1944.4688221709007</v>
      </c>
      <c r="I322" s="24">
        <f t="shared" ref="I322:I385" si="30">F322/(20-D322)</f>
        <v>581.20805369127527</v>
      </c>
      <c r="J322" s="32">
        <f t="shared" si="28"/>
        <v>1.0965357967667437</v>
      </c>
      <c r="K322" s="25">
        <f t="shared" si="29"/>
        <v>418</v>
      </c>
    </row>
    <row r="323" spans="1:11" x14ac:dyDescent="0.3">
      <c r="A323" s="25">
        <f t="shared" ref="A323:A386" si="31">1990+INT((ROW(A322)-1)/12)</f>
        <v>2016</v>
      </c>
      <c r="B323" s="25" t="s">
        <v>10</v>
      </c>
      <c r="C323" s="25" t="str">
        <f t="shared" ref="C323:C386" si="32">IF(OR(B323="dec",B323="jan",B323="feb"),"Winter",IF(OR(B323="mar",B323="apr",B323="may"),"Frühling",IF(OR(B323="jun",B323="jul",B323="aug"),"Sommer","Herbst")))</f>
        <v>Herbst</v>
      </c>
      <c r="D323" s="25">
        <f>INDEX(Wetter!B:M,MATCH(A323,Wetter!A:A,0),MATCH(B323,Wetter!B$1:M$1,0))</f>
        <v>5.38</v>
      </c>
      <c r="E323" s="26">
        <v>4015</v>
      </c>
      <c r="F323" s="27">
        <v>4874</v>
      </c>
      <c r="G323" s="35">
        <f>_xlfn.XLOOKUP(A323,Bevölkerung!A:A,Bevölkerung!B:B)</f>
        <v>8419550</v>
      </c>
      <c r="H323" s="28">
        <f t="shared" ref="H323:H386" si="33">G323/F323</f>
        <v>1727.4415264669676</v>
      </c>
      <c r="I323" s="24">
        <f t="shared" si="30"/>
        <v>333.37893296853622</v>
      </c>
      <c r="J323" s="32">
        <f t="shared" ref="J323:J386" si="34">E323/F323</f>
        <v>0.82375871973738202</v>
      </c>
      <c r="K323" s="25">
        <f t="shared" ref="K323:K386" si="35">E323-F323</f>
        <v>-859</v>
      </c>
    </row>
    <row r="324" spans="1:11" x14ac:dyDescent="0.3">
      <c r="A324" s="25">
        <f t="shared" si="31"/>
        <v>2016</v>
      </c>
      <c r="B324" s="25" t="s">
        <v>11</v>
      </c>
      <c r="C324" s="25" t="str">
        <f t="shared" si="32"/>
        <v>Herbst</v>
      </c>
      <c r="D324" s="25">
        <f>INDEX(Wetter!B:M,MATCH(A324,Wetter!A:A,0),MATCH(B324,Wetter!B$1:M$1,0))</f>
        <v>1.81</v>
      </c>
      <c r="E324" s="26">
        <v>4026</v>
      </c>
      <c r="F324" s="27">
        <v>5261</v>
      </c>
      <c r="G324" s="35">
        <f>_xlfn.XLOOKUP(A324,Bevölkerung!A:A,Bevölkerung!B:B)</f>
        <v>8419550</v>
      </c>
      <c r="H324" s="28">
        <f t="shared" si="33"/>
        <v>1600.3706519673067</v>
      </c>
      <c r="I324" s="24">
        <f t="shared" si="30"/>
        <v>289.22484881803189</v>
      </c>
      <c r="J324" s="32">
        <f t="shared" si="34"/>
        <v>0.76525375403915608</v>
      </c>
      <c r="K324" s="25">
        <f t="shared" si="35"/>
        <v>-1235</v>
      </c>
    </row>
    <row r="325" spans="1:11" x14ac:dyDescent="0.3">
      <c r="A325" s="25">
        <f t="shared" si="31"/>
        <v>2016</v>
      </c>
      <c r="B325" s="25" t="s">
        <v>12</v>
      </c>
      <c r="C325" s="25" t="str">
        <f t="shared" si="32"/>
        <v>Winter</v>
      </c>
      <c r="D325" s="25">
        <f>INDEX(Wetter!B:M,MATCH(A325,Wetter!A:A,0),MATCH(B325,Wetter!B$1:M$1,0))</f>
        <v>-0.13</v>
      </c>
      <c r="E325" s="26">
        <v>4539</v>
      </c>
      <c r="F325" s="27">
        <v>5641</v>
      </c>
      <c r="G325" s="35">
        <f>_xlfn.XLOOKUP(A325,Bevölkerung!A:A,Bevölkerung!B:B)</f>
        <v>8419550</v>
      </c>
      <c r="H325" s="28">
        <f t="shared" si="33"/>
        <v>1492.5633752880694</v>
      </c>
      <c r="I325" s="24">
        <f t="shared" si="30"/>
        <v>280.22851465474417</v>
      </c>
      <c r="J325" s="32">
        <f t="shared" si="34"/>
        <v>0.80464456656621164</v>
      </c>
      <c r="K325" s="25">
        <f t="shared" si="35"/>
        <v>-1102</v>
      </c>
    </row>
    <row r="326" spans="1:11" x14ac:dyDescent="0.3">
      <c r="A326" s="25">
        <f t="shared" si="31"/>
        <v>2017</v>
      </c>
      <c r="B326" s="25" t="s">
        <v>1</v>
      </c>
      <c r="C326" s="25" t="str">
        <f t="shared" si="32"/>
        <v>Winter</v>
      </c>
      <c r="D326" s="25">
        <f>INDEX(Wetter!B:M,MATCH(A326,Wetter!A:A,0),MATCH(B326,Wetter!B$1:M$1,0))</f>
        <v>-5.16</v>
      </c>
      <c r="E326" s="26">
        <v>4929</v>
      </c>
      <c r="F326" s="27">
        <v>6147</v>
      </c>
      <c r="G326" s="35">
        <f>_xlfn.XLOOKUP(A326,Bevölkerung!A:A,Bevölkerung!B:B)</f>
        <v>8484130</v>
      </c>
      <c r="H326" s="28">
        <f t="shared" si="33"/>
        <v>1380.2066048478932</v>
      </c>
      <c r="I326" s="24">
        <f t="shared" si="30"/>
        <v>244.31637519872814</v>
      </c>
      <c r="J326" s="32">
        <f t="shared" si="34"/>
        <v>0.80185456320156179</v>
      </c>
      <c r="K326" s="25">
        <f t="shared" si="35"/>
        <v>-1218</v>
      </c>
    </row>
    <row r="327" spans="1:11" x14ac:dyDescent="0.3">
      <c r="A327" s="25">
        <f t="shared" si="31"/>
        <v>2017</v>
      </c>
      <c r="B327" s="25" t="s">
        <v>2</v>
      </c>
      <c r="C327" s="25" t="str">
        <f t="shared" si="32"/>
        <v>Winter</v>
      </c>
      <c r="D327" s="25">
        <f>INDEX(Wetter!B:M,MATCH(A327,Wetter!A:A,0),MATCH(B327,Wetter!B$1:M$1,0))</f>
        <v>0.47</v>
      </c>
      <c r="E327" s="26">
        <v>3559</v>
      </c>
      <c r="F327" s="27">
        <v>5088</v>
      </c>
      <c r="G327" s="35">
        <f>_xlfn.XLOOKUP(A327,Bevölkerung!A:A,Bevölkerung!B:B)</f>
        <v>8484130</v>
      </c>
      <c r="H327" s="28">
        <f t="shared" si="33"/>
        <v>1667.4783805031448</v>
      </c>
      <c r="I327" s="24">
        <f t="shared" si="30"/>
        <v>260.52227342549924</v>
      </c>
      <c r="J327" s="32">
        <f t="shared" si="34"/>
        <v>0.69948899371069184</v>
      </c>
      <c r="K327" s="25">
        <f t="shared" si="35"/>
        <v>-1529</v>
      </c>
    </row>
    <row r="328" spans="1:11" x14ac:dyDescent="0.3">
      <c r="A328" s="25">
        <f t="shared" si="31"/>
        <v>2017</v>
      </c>
      <c r="B328" s="25" t="s">
        <v>3</v>
      </c>
      <c r="C328" s="25" t="str">
        <f t="shared" si="32"/>
        <v>Frühling</v>
      </c>
      <c r="D328" s="25">
        <f>INDEX(Wetter!B:M,MATCH(A328,Wetter!A:A,0),MATCH(B328,Wetter!B$1:M$1,0))</f>
        <v>4.13</v>
      </c>
      <c r="E328" s="26">
        <v>5055</v>
      </c>
      <c r="F328" s="27">
        <v>5147</v>
      </c>
      <c r="G328" s="35">
        <f>_xlfn.XLOOKUP(A328,Bevölkerung!A:A,Bevölkerung!B:B)</f>
        <v>8484130</v>
      </c>
      <c r="H328" s="28">
        <f t="shared" si="33"/>
        <v>1648.364095589664</v>
      </c>
      <c r="I328" s="24">
        <f t="shared" si="30"/>
        <v>324.32262129804661</v>
      </c>
      <c r="J328" s="32">
        <f t="shared" si="34"/>
        <v>0.98212551000582859</v>
      </c>
      <c r="K328" s="25">
        <f t="shared" si="35"/>
        <v>-92</v>
      </c>
    </row>
    <row r="329" spans="1:11" x14ac:dyDescent="0.3">
      <c r="A329" s="25">
        <f t="shared" si="31"/>
        <v>2017</v>
      </c>
      <c r="B329" s="25" t="s">
        <v>4</v>
      </c>
      <c r="C329" s="25" t="str">
        <f t="shared" si="32"/>
        <v>Frühling</v>
      </c>
      <c r="D329" s="25">
        <f>INDEX(Wetter!B:M,MATCH(A329,Wetter!A:A,0),MATCH(B329,Wetter!B$1:M$1,0))</f>
        <v>4.43</v>
      </c>
      <c r="E329" s="26">
        <v>4816</v>
      </c>
      <c r="F329" s="27">
        <v>4466</v>
      </c>
      <c r="G329" s="35">
        <f>_xlfn.XLOOKUP(A329,Bevölkerung!A:A,Bevölkerung!B:B)</f>
        <v>8484130</v>
      </c>
      <c r="H329" s="28">
        <f t="shared" si="33"/>
        <v>1899.7156291983879</v>
      </c>
      <c r="I329" s="24">
        <f t="shared" si="30"/>
        <v>286.83365446371226</v>
      </c>
      <c r="J329" s="32">
        <f t="shared" si="34"/>
        <v>1.0783699059561129</v>
      </c>
      <c r="K329" s="25">
        <f t="shared" si="35"/>
        <v>350</v>
      </c>
    </row>
    <row r="330" spans="1:11" x14ac:dyDescent="0.3">
      <c r="A330" s="25">
        <f t="shared" si="31"/>
        <v>2017</v>
      </c>
      <c r="B330" s="25" t="s">
        <v>5</v>
      </c>
      <c r="C330" s="25" t="str">
        <f t="shared" si="32"/>
        <v>Frühling</v>
      </c>
      <c r="D330" s="25">
        <f>INDEX(Wetter!B:M,MATCH(A330,Wetter!A:A,0),MATCH(B330,Wetter!B$1:M$1,0))</f>
        <v>9.83</v>
      </c>
      <c r="E330" s="26">
        <v>5795</v>
      </c>
      <c r="F330" s="27">
        <v>4508</v>
      </c>
      <c r="G330" s="35">
        <f>_xlfn.XLOOKUP(A330,Bevölkerung!A:A,Bevölkerung!B:B)</f>
        <v>8484130</v>
      </c>
      <c r="H330" s="28">
        <f t="shared" si="33"/>
        <v>1882.0164152617569</v>
      </c>
      <c r="I330" s="24">
        <f t="shared" si="30"/>
        <v>443.26450344149458</v>
      </c>
      <c r="J330" s="32">
        <f t="shared" si="34"/>
        <v>1.2854924578527063</v>
      </c>
      <c r="K330" s="25">
        <f t="shared" si="35"/>
        <v>1287</v>
      </c>
    </row>
    <row r="331" spans="1:11" x14ac:dyDescent="0.3">
      <c r="A331" s="25">
        <f t="shared" si="31"/>
        <v>2017</v>
      </c>
      <c r="B331" s="25" t="s">
        <v>6</v>
      </c>
      <c r="C331" s="25" t="str">
        <f t="shared" si="32"/>
        <v>Sommer</v>
      </c>
      <c r="D331" s="25">
        <f>INDEX(Wetter!B:M,MATCH(A331,Wetter!A:A,0),MATCH(B331,Wetter!B$1:M$1,0))</f>
        <v>15.2</v>
      </c>
      <c r="E331" s="26">
        <v>6034</v>
      </c>
      <c r="F331" s="27">
        <v>4299</v>
      </c>
      <c r="G331" s="35">
        <f>_xlfn.XLOOKUP(A331,Bevölkerung!A:A,Bevölkerung!B:B)</f>
        <v>8484130</v>
      </c>
      <c r="H331" s="28">
        <f t="shared" si="33"/>
        <v>1973.5124447545941</v>
      </c>
      <c r="I331" s="24">
        <f t="shared" si="30"/>
        <v>895.62499999999989</v>
      </c>
      <c r="J331" s="32">
        <f t="shared" si="34"/>
        <v>1.4035822284252151</v>
      </c>
      <c r="K331" s="25">
        <f t="shared" si="35"/>
        <v>1735</v>
      </c>
    </row>
    <row r="332" spans="1:11" x14ac:dyDescent="0.3">
      <c r="A332" s="25">
        <f t="shared" si="31"/>
        <v>2017</v>
      </c>
      <c r="B332" s="25" t="s">
        <v>7</v>
      </c>
      <c r="C332" s="25" t="str">
        <f t="shared" si="32"/>
        <v>Sommer</v>
      </c>
      <c r="D332" s="25">
        <f>INDEX(Wetter!B:M,MATCH(A332,Wetter!A:A,0),MATCH(B332,Wetter!B$1:M$1,0))</f>
        <v>15.04</v>
      </c>
      <c r="E332" s="26">
        <v>6279</v>
      </c>
      <c r="F332" s="27">
        <v>4233</v>
      </c>
      <c r="G332" s="35">
        <f>_xlfn.XLOOKUP(A332,Bevölkerung!A:A,Bevölkerung!B:B)</f>
        <v>8484130</v>
      </c>
      <c r="H332" s="28">
        <f t="shared" si="33"/>
        <v>2004.2830144105835</v>
      </c>
      <c r="I332" s="24">
        <f t="shared" si="30"/>
        <v>853.42741935483855</v>
      </c>
      <c r="J332" s="32">
        <f t="shared" si="34"/>
        <v>1.4833451452870305</v>
      </c>
      <c r="K332" s="25">
        <f t="shared" si="35"/>
        <v>2046</v>
      </c>
    </row>
    <row r="333" spans="1:11" x14ac:dyDescent="0.3">
      <c r="A333" s="25">
        <f t="shared" si="31"/>
        <v>2017</v>
      </c>
      <c r="B333" s="25" t="s">
        <v>8</v>
      </c>
      <c r="C333" s="25" t="str">
        <f t="shared" si="32"/>
        <v>Sommer</v>
      </c>
      <c r="D333" s="25">
        <f>INDEX(Wetter!B:M,MATCH(A333,Wetter!A:A,0),MATCH(B333,Wetter!B$1:M$1,0))</f>
        <v>15.46</v>
      </c>
      <c r="E333" s="27">
        <v>6048</v>
      </c>
      <c r="F333" s="27">
        <v>4344</v>
      </c>
      <c r="G333" s="35">
        <f>_xlfn.XLOOKUP(A333,Bevölkerung!A:A,Bevölkerung!B:B)</f>
        <v>8484130</v>
      </c>
      <c r="H333" s="28">
        <f t="shared" si="33"/>
        <v>1953.068600368324</v>
      </c>
      <c r="I333" s="24">
        <f t="shared" si="30"/>
        <v>956.82819383259925</v>
      </c>
      <c r="J333" s="32">
        <f t="shared" si="34"/>
        <v>1.3922651933701657</v>
      </c>
      <c r="K333" s="25">
        <f t="shared" si="35"/>
        <v>1704</v>
      </c>
    </row>
    <row r="334" spans="1:11" x14ac:dyDescent="0.3">
      <c r="A334" s="25">
        <f t="shared" si="31"/>
        <v>2017</v>
      </c>
      <c r="B334" s="25" t="s">
        <v>9</v>
      </c>
      <c r="C334" s="25" t="str">
        <f t="shared" si="32"/>
        <v>Herbst</v>
      </c>
      <c r="D334" s="25">
        <f>INDEX(Wetter!B:M,MATCH(A334,Wetter!A:A,0),MATCH(B334,Wetter!B$1:M$1,0))</f>
        <v>8.66</v>
      </c>
      <c r="E334" s="27">
        <v>4906</v>
      </c>
      <c r="F334" s="27">
        <v>4460</v>
      </c>
      <c r="G334" s="35">
        <f>_xlfn.XLOOKUP(A334,Bevölkerung!A:A,Bevölkerung!B:B)</f>
        <v>8484130</v>
      </c>
      <c r="H334" s="28">
        <f t="shared" si="33"/>
        <v>1902.2713004484306</v>
      </c>
      <c r="I334" s="24">
        <f t="shared" si="30"/>
        <v>393.29805996472663</v>
      </c>
      <c r="J334" s="32">
        <f t="shared" si="34"/>
        <v>1.1000000000000001</v>
      </c>
      <c r="K334" s="25">
        <f t="shared" si="35"/>
        <v>446</v>
      </c>
    </row>
    <row r="335" spans="1:11" x14ac:dyDescent="0.3">
      <c r="A335" s="25">
        <f t="shared" si="31"/>
        <v>2017</v>
      </c>
      <c r="B335" s="25" t="s">
        <v>10</v>
      </c>
      <c r="C335" s="25" t="str">
        <f t="shared" si="32"/>
        <v>Herbst</v>
      </c>
      <c r="D335" s="25">
        <f>INDEX(Wetter!B:M,MATCH(A335,Wetter!A:A,0),MATCH(B335,Wetter!B$1:M$1,0))</f>
        <v>7.78</v>
      </c>
      <c r="E335" s="26">
        <v>4275</v>
      </c>
      <c r="F335" s="27">
        <v>4742</v>
      </c>
      <c r="G335" s="35">
        <f>_xlfn.XLOOKUP(A335,Bevölkerung!A:A,Bevölkerung!B:B)</f>
        <v>8484130</v>
      </c>
      <c r="H335" s="28">
        <f t="shared" si="33"/>
        <v>1789.145929987347</v>
      </c>
      <c r="I335" s="24">
        <f t="shared" si="30"/>
        <v>388.05237315875615</v>
      </c>
      <c r="J335" s="32">
        <f t="shared" si="34"/>
        <v>0.90151834668916064</v>
      </c>
      <c r="K335" s="25">
        <f t="shared" si="35"/>
        <v>-467</v>
      </c>
    </row>
    <row r="336" spans="1:11" x14ac:dyDescent="0.3">
      <c r="A336" s="25">
        <f t="shared" si="31"/>
        <v>2017</v>
      </c>
      <c r="B336" s="25" t="s">
        <v>11</v>
      </c>
      <c r="C336" s="25" t="str">
        <f t="shared" si="32"/>
        <v>Herbst</v>
      </c>
      <c r="D336" s="25">
        <f>INDEX(Wetter!B:M,MATCH(A336,Wetter!A:A,0),MATCH(B336,Wetter!B$1:M$1,0))</f>
        <v>0.87</v>
      </c>
      <c r="E336" s="26">
        <v>4758</v>
      </c>
      <c r="F336" s="27">
        <v>5340</v>
      </c>
      <c r="G336" s="35">
        <f>_xlfn.XLOOKUP(A336,Bevölkerung!A:A,Bevölkerung!B:B)</f>
        <v>8484130</v>
      </c>
      <c r="H336" s="28">
        <f t="shared" si="33"/>
        <v>1588.7883895131085</v>
      </c>
      <c r="I336" s="24">
        <f t="shared" si="30"/>
        <v>279.14270778881342</v>
      </c>
      <c r="J336" s="32">
        <f t="shared" si="34"/>
        <v>0.89101123595505616</v>
      </c>
      <c r="K336" s="25">
        <f t="shared" si="35"/>
        <v>-582</v>
      </c>
    </row>
    <row r="337" spans="1:11" x14ac:dyDescent="0.3">
      <c r="A337" s="25">
        <f t="shared" si="31"/>
        <v>2017</v>
      </c>
      <c r="B337" s="25" t="s">
        <v>12</v>
      </c>
      <c r="C337" s="25" t="str">
        <f t="shared" si="32"/>
        <v>Winter</v>
      </c>
      <c r="D337" s="25">
        <f>INDEX(Wetter!B:M,MATCH(A337,Wetter!A:A,0),MATCH(B337,Wetter!B$1:M$1,0))</f>
        <v>-2.46</v>
      </c>
      <c r="E337" s="26">
        <v>5033</v>
      </c>
      <c r="F337" s="27">
        <v>5709</v>
      </c>
      <c r="G337" s="35">
        <f>_xlfn.XLOOKUP(A337,Bevölkerung!A:A,Bevölkerung!B:B)</f>
        <v>8484130</v>
      </c>
      <c r="H337" s="28">
        <f t="shared" si="33"/>
        <v>1486.0973900858294</v>
      </c>
      <c r="I337" s="24">
        <f t="shared" si="30"/>
        <v>254.18521816562776</v>
      </c>
      <c r="J337" s="32">
        <f t="shared" si="34"/>
        <v>0.88159047118584688</v>
      </c>
      <c r="K337" s="25">
        <f t="shared" si="35"/>
        <v>-676</v>
      </c>
    </row>
    <row r="338" spans="1:11" x14ac:dyDescent="0.3">
      <c r="A338" s="25">
        <f t="shared" si="31"/>
        <v>2018</v>
      </c>
      <c r="B338" s="25" t="s">
        <v>1</v>
      </c>
      <c r="C338" s="25" t="str">
        <f t="shared" si="32"/>
        <v>Winter</v>
      </c>
      <c r="D338" s="25">
        <f>INDEX(Wetter!B:M,MATCH(A338,Wetter!A:A,0),MATCH(B338,Wetter!B$1:M$1,0))</f>
        <v>0.47</v>
      </c>
      <c r="E338" s="26">
        <v>5220</v>
      </c>
      <c r="F338" s="27">
        <v>5539</v>
      </c>
      <c r="G338" s="35">
        <f>_xlfn.XLOOKUP(A338,Bevölkerung!A:A,Bevölkerung!B:B)</f>
        <v>8544527</v>
      </c>
      <c r="H338" s="28">
        <f t="shared" si="33"/>
        <v>1542.6118432930132</v>
      </c>
      <c r="I338" s="24">
        <f t="shared" si="30"/>
        <v>283.61495135688682</v>
      </c>
      <c r="J338" s="32">
        <f t="shared" si="34"/>
        <v>0.94240837696335078</v>
      </c>
      <c r="K338" s="25">
        <f t="shared" si="35"/>
        <v>-319</v>
      </c>
    </row>
    <row r="339" spans="1:11" x14ac:dyDescent="0.3">
      <c r="A339" s="25">
        <f t="shared" si="31"/>
        <v>2018</v>
      </c>
      <c r="B339" s="25" t="s">
        <v>2</v>
      </c>
      <c r="C339" s="25" t="str">
        <f t="shared" si="32"/>
        <v>Winter</v>
      </c>
      <c r="D339" s="25">
        <f>INDEX(Wetter!B:M,MATCH(A339,Wetter!A:A,0),MATCH(B339,Wetter!B$1:M$1,0))</f>
        <v>-5.21</v>
      </c>
      <c r="E339" s="26">
        <v>5323</v>
      </c>
      <c r="F339" s="27">
        <v>5342</v>
      </c>
      <c r="G339" s="35">
        <f>_xlfn.XLOOKUP(A339,Bevölkerung!A:A,Bevölkerung!B:B)</f>
        <v>8544527</v>
      </c>
      <c r="H339" s="28">
        <f t="shared" si="33"/>
        <v>1599.4996256083864</v>
      </c>
      <c r="I339" s="24">
        <f t="shared" si="30"/>
        <v>211.90003966679888</v>
      </c>
      <c r="J339" s="32">
        <f t="shared" si="34"/>
        <v>0.99644327967053536</v>
      </c>
      <c r="K339" s="25">
        <f t="shared" si="35"/>
        <v>-19</v>
      </c>
    </row>
    <row r="340" spans="1:11" x14ac:dyDescent="0.3">
      <c r="A340" s="25">
        <f t="shared" si="31"/>
        <v>2018</v>
      </c>
      <c r="B340" s="25" t="s">
        <v>3</v>
      </c>
      <c r="C340" s="25" t="str">
        <f t="shared" si="32"/>
        <v>Frühling</v>
      </c>
      <c r="D340" s="25">
        <f>INDEX(Wetter!B:M,MATCH(A340,Wetter!A:A,0),MATCH(B340,Wetter!B$1:M$1,0))</f>
        <v>-0.18</v>
      </c>
      <c r="E340" s="26">
        <v>4918</v>
      </c>
      <c r="F340" s="27">
        <v>5477</v>
      </c>
      <c r="G340" s="35">
        <f>_xlfn.XLOOKUP(A340,Bevölkerung!A:A,Bevölkerung!B:B)</f>
        <v>8544527</v>
      </c>
      <c r="H340" s="28">
        <f t="shared" si="33"/>
        <v>1560.0743107540625</v>
      </c>
      <c r="I340" s="24">
        <f t="shared" si="30"/>
        <v>271.40733399405354</v>
      </c>
      <c r="J340" s="32">
        <f t="shared" si="34"/>
        <v>0.89793682672996167</v>
      </c>
      <c r="K340" s="25">
        <f t="shared" si="35"/>
        <v>-559</v>
      </c>
    </row>
    <row r="341" spans="1:11" x14ac:dyDescent="0.3">
      <c r="A341" s="25">
        <f t="shared" si="31"/>
        <v>2018</v>
      </c>
      <c r="B341" s="25" t="s">
        <v>4</v>
      </c>
      <c r="C341" s="25" t="str">
        <f t="shared" si="32"/>
        <v>Frühling</v>
      </c>
      <c r="D341" s="25">
        <f>INDEX(Wetter!B:M,MATCH(A341,Wetter!A:A,0),MATCH(B341,Wetter!B$1:M$1,0))</f>
        <v>7.82</v>
      </c>
      <c r="E341" s="26">
        <v>5425</v>
      </c>
      <c r="F341" s="27">
        <v>4363</v>
      </c>
      <c r="G341" s="35">
        <f>_xlfn.XLOOKUP(A341,Bevölkerung!A:A,Bevölkerung!B:B)</f>
        <v>8544527</v>
      </c>
      <c r="H341" s="28">
        <f t="shared" si="33"/>
        <v>1958.4063717625488</v>
      </c>
      <c r="I341" s="24">
        <f t="shared" si="30"/>
        <v>358.21018062397371</v>
      </c>
      <c r="J341" s="32">
        <f t="shared" si="34"/>
        <v>1.2434104973641988</v>
      </c>
      <c r="K341" s="25">
        <f t="shared" si="35"/>
        <v>1062</v>
      </c>
    </row>
    <row r="342" spans="1:11" x14ac:dyDescent="0.3">
      <c r="A342" s="25">
        <f t="shared" si="31"/>
        <v>2018</v>
      </c>
      <c r="B342" s="25" t="s">
        <v>5</v>
      </c>
      <c r="C342" s="25" t="str">
        <f t="shared" si="32"/>
        <v>Frühling</v>
      </c>
      <c r="D342" s="25">
        <f>INDEX(Wetter!B:M,MATCH(A342,Wetter!A:A,0),MATCH(B342,Wetter!B$1:M$1,0))</f>
        <v>10.46</v>
      </c>
      <c r="E342" s="26">
        <v>7169</v>
      </c>
      <c r="F342" s="27">
        <v>4400</v>
      </c>
      <c r="G342" s="35">
        <f>_xlfn.XLOOKUP(A342,Bevölkerung!A:A,Bevölkerung!B:B)</f>
        <v>8544527</v>
      </c>
      <c r="H342" s="28">
        <f t="shared" si="33"/>
        <v>1941.9379545454547</v>
      </c>
      <c r="I342" s="24">
        <f t="shared" si="30"/>
        <v>461.21593291404616</v>
      </c>
      <c r="J342" s="32">
        <f t="shared" si="34"/>
        <v>1.6293181818181819</v>
      </c>
      <c r="K342" s="25">
        <f t="shared" si="35"/>
        <v>2769</v>
      </c>
    </row>
    <row r="343" spans="1:11" x14ac:dyDescent="0.3">
      <c r="A343" s="25">
        <f t="shared" si="31"/>
        <v>2018</v>
      </c>
      <c r="B343" s="25" t="s">
        <v>6</v>
      </c>
      <c r="C343" s="25" t="str">
        <f t="shared" si="32"/>
        <v>Sommer</v>
      </c>
      <c r="D343" s="25">
        <f>INDEX(Wetter!B:M,MATCH(A343,Wetter!A:A,0),MATCH(B343,Wetter!B$1:M$1,0))</f>
        <v>13.82</v>
      </c>
      <c r="E343" s="26">
        <v>6762</v>
      </c>
      <c r="F343" s="27">
        <v>4325</v>
      </c>
      <c r="G343" s="35">
        <f>_xlfn.XLOOKUP(A343,Bevölkerung!A:A,Bevölkerung!B:B)</f>
        <v>8544527</v>
      </c>
      <c r="H343" s="28">
        <f t="shared" si="33"/>
        <v>1975.6131791907515</v>
      </c>
      <c r="I343" s="24">
        <f t="shared" si="30"/>
        <v>699.83818770226537</v>
      </c>
      <c r="J343" s="32">
        <f t="shared" si="34"/>
        <v>1.5634682080924855</v>
      </c>
      <c r="K343" s="25">
        <f t="shared" si="35"/>
        <v>2437</v>
      </c>
    </row>
    <row r="344" spans="1:11" x14ac:dyDescent="0.3">
      <c r="A344" s="25">
        <f t="shared" si="31"/>
        <v>2018</v>
      </c>
      <c r="B344" s="25" t="s">
        <v>7</v>
      </c>
      <c r="C344" s="25" t="str">
        <f t="shared" si="32"/>
        <v>Sommer</v>
      </c>
      <c r="D344" s="25">
        <f>INDEX(Wetter!B:M,MATCH(A344,Wetter!A:A,0),MATCH(B344,Wetter!B$1:M$1,0))</f>
        <v>16.23</v>
      </c>
      <c r="E344" s="26">
        <v>6625</v>
      </c>
      <c r="F344" s="27">
        <v>4246</v>
      </c>
      <c r="G344" s="35">
        <f>_xlfn.XLOOKUP(A344,Bevölkerung!A:A,Bevölkerung!B:B)</f>
        <v>8544527</v>
      </c>
      <c r="H344" s="28">
        <f t="shared" si="33"/>
        <v>2012.3709373528027</v>
      </c>
      <c r="I344" s="24">
        <f t="shared" si="30"/>
        <v>1126.2599469496022</v>
      </c>
      <c r="J344" s="32">
        <f t="shared" si="34"/>
        <v>1.5602920395666509</v>
      </c>
      <c r="K344" s="25">
        <f t="shared" si="35"/>
        <v>2379</v>
      </c>
    </row>
    <row r="345" spans="1:11" x14ac:dyDescent="0.3">
      <c r="A345" s="25">
        <f t="shared" si="31"/>
        <v>2018</v>
      </c>
      <c r="B345" s="25" t="s">
        <v>8</v>
      </c>
      <c r="C345" s="25" t="str">
        <f t="shared" si="32"/>
        <v>Sommer</v>
      </c>
      <c r="D345" s="25">
        <f>INDEX(Wetter!B:M,MATCH(A345,Wetter!A:A,0),MATCH(B345,Wetter!B$1:M$1,0))</f>
        <v>15.89</v>
      </c>
      <c r="E345" s="27">
        <v>6112</v>
      </c>
      <c r="F345" s="27">
        <v>4231</v>
      </c>
      <c r="G345" s="35">
        <f>_xlfn.XLOOKUP(A345,Bevölkerung!A:A,Bevölkerung!B:B)</f>
        <v>8544527</v>
      </c>
      <c r="H345" s="28">
        <f t="shared" si="33"/>
        <v>2019.5053178917512</v>
      </c>
      <c r="I345" s="24">
        <f t="shared" si="30"/>
        <v>1029.440389294404</v>
      </c>
      <c r="J345" s="32">
        <f t="shared" si="34"/>
        <v>1.4445757504136139</v>
      </c>
      <c r="K345" s="25">
        <f t="shared" si="35"/>
        <v>1881</v>
      </c>
    </row>
    <row r="346" spans="1:11" x14ac:dyDescent="0.3">
      <c r="A346" s="25">
        <f t="shared" si="31"/>
        <v>2018</v>
      </c>
      <c r="B346" s="25" t="s">
        <v>9</v>
      </c>
      <c r="C346" s="25" t="str">
        <f t="shared" si="32"/>
        <v>Herbst</v>
      </c>
      <c r="D346" s="25">
        <f>INDEX(Wetter!B:M,MATCH(A346,Wetter!A:A,0),MATCH(B346,Wetter!B$1:M$1,0))</f>
        <v>12.58</v>
      </c>
      <c r="E346" s="27">
        <v>4893</v>
      </c>
      <c r="F346" s="27">
        <v>4295</v>
      </c>
      <c r="G346" s="35">
        <f>_xlfn.XLOOKUP(A346,Bevölkerung!A:A,Bevölkerung!B:B)</f>
        <v>8544527</v>
      </c>
      <c r="H346" s="28">
        <f t="shared" si="33"/>
        <v>1989.4125727590222</v>
      </c>
      <c r="I346" s="24">
        <f t="shared" si="30"/>
        <v>578.84097035040429</v>
      </c>
      <c r="J346" s="32">
        <f t="shared" si="34"/>
        <v>1.139231664726426</v>
      </c>
      <c r="K346" s="25">
        <f t="shared" si="35"/>
        <v>598</v>
      </c>
    </row>
    <row r="347" spans="1:11" x14ac:dyDescent="0.3">
      <c r="A347" s="25">
        <f t="shared" si="31"/>
        <v>2018</v>
      </c>
      <c r="B347" s="25" t="s">
        <v>10</v>
      </c>
      <c r="C347" s="25" t="str">
        <f t="shared" si="32"/>
        <v>Herbst</v>
      </c>
      <c r="D347" s="25">
        <f>INDEX(Wetter!B:M,MATCH(A347,Wetter!A:A,0),MATCH(B347,Wetter!B$1:M$1,0))</f>
        <v>8.0399999999999991</v>
      </c>
      <c r="E347" s="26">
        <v>4447</v>
      </c>
      <c r="F347" s="27">
        <v>4785</v>
      </c>
      <c r="G347" s="35">
        <f>_xlfn.XLOOKUP(A347,Bevölkerung!A:A,Bevölkerung!B:B)</f>
        <v>8544527</v>
      </c>
      <c r="H347" s="28">
        <f t="shared" si="33"/>
        <v>1785.6900731452456</v>
      </c>
      <c r="I347" s="24">
        <f t="shared" si="30"/>
        <v>400.08361204013374</v>
      </c>
      <c r="J347" s="32">
        <f t="shared" si="34"/>
        <v>0.92936259143155697</v>
      </c>
      <c r="K347" s="25">
        <f t="shared" si="35"/>
        <v>-338</v>
      </c>
    </row>
    <row r="348" spans="1:11" x14ac:dyDescent="0.3">
      <c r="A348" s="25">
        <f t="shared" si="31"/>
        <v>2018</v>
      </c>
      <c r="B348" s="25" t="s">
        <v>11</v>
      </c>
      <c r="C348" s="25" t="str">
        <f t="shared" si="32"/>
        <v>Herbst</v>
      </c>
      <c r="D348" s="25">
        <f>INDEX(Wetter!B:M,MATCH(A348,Wetter!A:A,0),MATCH(B348,Wetter!B$1:M$1,0))</f>
        <v>2.78</v>
      </c>
      <c r="E348" s="26">
        <v>5192</v>
      </c>
      <c r="F348" s="27">
        <v>5175</v>
      </c>
      <c r="G348" s="35">
        <f>_xlfn.XLOOKUP(A348,Bevölkerung!A:A,Bevölkerung!B:B)</f>
        <v>8544527</v>
      </c>
      <c r="H348" s="28">
        <f t="shared" si="33"/>
        <v>1651.1163285024154</v>
      </c>
      <c r="I348" s="24">
        <f t="shared" si="30"/>
        <v>300.52264808362372</v>
      </c>
      <c r="J348" s="32">
        <f t="shared" si="34"/>
        <v>1.0032850241545894</v>
      </c>
      <c r="K348" s="25">
        <f t="shared" si="35"/>
        <v>17</v>
      </c>
    </row>
    <row r="349" spans="1:11" x14ac:dyDescent="0.3">
      <c r="A349" s="25">
        <f t="shared" si="31"/>
        <v>2018</v>
      </c>
      <c r="B349" s="25" t="s">
        <v>12</v>
      </c>
      <c r="C349" s="25" t="str">
        <f t="shared" si="32"/>
        <v>Winter</v>
      </c>
      <c r="D349" s="25">
        <f>INDEX(Wetter!B:M,MATCH(A349,Wetter!A:A,0),MATCH(B349,Wetter!B$1:M$1,0))</f>
        <v>-0.13</v>
      </c>
      <c r="E349" s="26">
        <v>5472</v>
      </c>
      <c r="F349" s="27">
        <v>5469</v>
      </c>
      <c r="G349" s="35">
        <f>_xlfn.XLOOKUP(A349,Bevölkerung!A:A,Bevölkerung!B:B)</f>
        <v>8544527</v>
      </c>
      <c r="H349" s="28">
        <f t="shared" si="33"/>
        <v>1562.3563722801243</v>
      </c>
      <c r="I349" s="24">
        <f t="shared" si="30"/>
        <v>271.68405365126677</v>
      </c>
      <c r="J349" s="32">
        <f t="shared" si="34"/>
        <v>1.0005485463521668</v>
      </c>
      <c r="K349" s="25">
        <f t="shared" si="35"/>
        <v>3</v>
      </c>
    </row>
    <row r="350" spans="1:11" x14ac:dyDescent="0.3">
      <c r="A350" s="25">
        <f t="shared" si="31"/>
        <v>2019</v>
      </c>
      <c r="B350" s="25" t="s">
        <v>1</v>
      </c>
      <c r="C350" s="25" t="str">
        <f t="shared" si="32"/>
        <v>Winter</v>
      </c>
      <c r="D350" s="25">
        <f>INDEX(Wetter!B:M,MATCH(A350,Wetter!A:A,0),MATCH(B350,Wetter!B$1:M$1,0))</f>
        <v>-4.38</v>
      </c>
      <c r="E350" s="26">
        <v>5883</v>
      </c>
      <c r="F350" s="27">
        <v>5838</v>
      </c>
      <c r="G350" s="35">
        <f>_xlfn.XLOOKUP(A350,Bevölkerung!A:A,Bevölkerung!B:B)</f>
        <v>8606033</v>
      </c>
      <c r="H350" s="28">
        <f t="shared" si="33"/>
        <v>1474.1406303528606</v>
      </c>
      <c r="I350" s="24">
        <f t="shared" si="30"/>
        <v>239.4585726004922</v>
      </c>
      <c r="J350" s="32">
        <f t="shared" si="34"/>
        <v>1.0077081192189106</v>
      </c>
      <c r="K350" s="25">
        <f t="shared" si="35"/>
        <v>45</v>
      </c>
    </row>
    <row r="351" spans="1:11" x14ac:dyDescent="0.3">
      <c r="A351" s="25">
        <f t="shared" si="31"/>
        <v>2019</v>
      </c>
      <c r="B351" s="25" t="s">
        <v>2</v>
      </c>
      <c r="C351" s="25" t="str">
        <f t="shared" si="32"/>
        <v>Winter</v>
      </c>
      <c r="D351" s="25">
        <f>INDEX(Wetter!B:M,MATCH(A351,Wetter!A:A,0),MATCH(B351,Wetter!B$1:M$1,0))</f>
        <v>0.74</v>
      </c>
      <c r="E351" s="26">
        <v>4799</v>
      </c>
      <c r="F351" s="27">
        <v>5086</v>
      </c>
      <c r="G351" s="35">
        <f>_xlfn.XLOOKUP(A351,Bevölkerung!A:A,Bevölkerung!B:B)</f>
        <v>8606033</v>
      </c>
      <c r="H351" s="28">
        <f t="shared" si="33"/>
        <v>1692.1024380652773</v>
      </c>
      <c r="I351" s="24">
        <f t="shared" si="30"/>
        <v>264.07061266874348</v>
      </c>
      <c r="J351" s="32">
        <f t="shared" si="34"/>
        <v>0.94357058592213916</v>
      </c>
      <c r="K351" s="25">
        <f t="shared" si="35"/>
        <v>-287</v>
      </c>
    </row>
    <row r="352" spans="1:11" x14ac:dyDescent="0.3">
      <c r="A352" s="25">
        <f t="shared" si="31"/>
        <v>2019</v>
      </c>
      <c r="B352" s="25" t="s">
        <v>3</v>
      </c>
      <c r="C352" s="25" t="str">
        <f t="shared" si="32"/>
        <v>Frühling</v>
      </c>
      <c r="D352" s="25">
        <f>INDEX(Wetter!B:M,MATCH(A352,Wetter!A:A,0),MATCH(B352,Wetter!B$1:M$1,0))</f>
        <v>2.29</v>
      </c>
      <c r="E352" s="26">
        <v>5116</v>
      </c>
      <c r="F352" s="27">
        <v>5176</v>
      </c>
      <c r="G352" s="35">
        <f>_xlfn.XLOOKUP(A352,Bevölkerung!A:A,Bevölkerung!B:B)</f>
        <v>8606033</v>
      </c>
      <c r="H352" s="28">
        <f t="shared" si="33"/>
        <v>1662.6802550231839</v>
      </c>
      <c r="I352" s="24">
        <f t="shared" si="30"/>
        <v>292.26425748164877</v>
      </c>
      <c r="J352" s="32">
        <f t="shared" si="34"/>
        <v>0.98840803709428127</v>
      </c>
      <c r="K352" s="25">
        <f t="shared" si="35"/>
        <v>-60</v>
      </c>
    </row>
    <row r="353" spans="1:11" x14ac:dyDescent="0.3">
      <c r="A353" s="25">
        <f t="shared" si="31"/>
        <v>2019</v>
      </c>
      <c r="B353" s="25" t="s">
        <v>4</v>
      </c>
      <c r="C353" s="25" t="str">
        <f t="shared" si="32"/>
        <v>Frühling</v>
      </c>
      <c r="D353" s="25">
        <f>INDEX(Wetter!B:M,MATCH(A353,Wetter!A:A,0),MATCH(B353,Wetter!B$1:M$1,0))</f>
        <v>4.5</v>
      </c>
      <c r="E353" s="26">
        <v>5400</v>
      </c>
      <c r="F353" s="27">
        <v>4533</v>
      </c>
      <c r="G353" s="35">
        <f>_xlfn.XLOOKUP(A353,Bevölkerung!A:A,Bevölkerung!B:B)</f>
        <v>8606033</v>
      </c>
      <c r="H353" s="28">
        <f t="shared" si="33"/>
        <v>1898.5292300904478</v>
      </c>
      <c r="I353" s="24">
        <f t="shared" si="30"/>
        <v>292.45161290322579</v>
      </c>
      <c r="J353" s="32">
        <f t="shared" si="34"/>
        <v>1.1912640635340834</v>
      </c>
      <c r="K353" s="25">
        <f t="shared" si="35"/>
        <v>867</v>
      </c>
    </row>
    <row r="354" spans="1:11" x14ac:dyDescent="0.3">
      <c r="A354" s="25">
        <f t="shared" si="31"/>
        <v>2019</v>
      </c>
      <c r="B354" s="25" t="s">
        <v>5</v>
      </c>
      <c r="C354" s="25" t="str">
        <f t="shared" si="32"/>
        <v>Frühling</v>
      </c>
      <c r="D354" s="25">
        <f>INDEX(Wetter!B:M,MATCH(A354,Wetter!A:A,0),MATCH(B354,Wetter!B$1:M$1,0))</f>
        <v>6.12</v>
      </c>
      <c r="E354" s="26">
        <v>5715</v>
      </c>
      <c r="F354" s="27">
        <v>4611</v>
      </c>
      <c r="G354" s="35">
        <f>_xlfn.XLOOKUP(A354,Bevölkerung!A:A,Bevölkerung!B:B)</f>
        <v>8606033</v>
      </c>
      <c r="H354" s="28">
        <f t="shared" si="33"/>
        <v>1866.4135762307526</v>
      </c>
      <c r="I354" s="24">
        <f t="shared" si="30"/>
        <v>332.20461095100865</v>
      </c>
      <c r="J354" s="32">
        <f t="shared" si="34"/>
        <v>1.2394274560832792</v>
      </c>
      <c r="K354" s="25">
        <f t="shared" si="35"/>
        <v>1104</v>
      </c>
    </row>
    <row r="355" spans="1:11" x14ac:dyDescent="0.3">
      <c r="A355" s="25">
        <f t="shared" si="31"/>
        <v>2019</v>
      </c>
      <c r="B355" s="25" t="s">
        <v>6</v>
      </c>
      <c r="C355" s="25" t="str">
        <f t="shared" si="32"/>
        <v>Sommer</v>
      </c>
      <c r="D355" s="25">
        <f>INDEX(Wetter!B:M,MATCH(A355,Wetter!A:A,0),MATCH(B355,Wetter!B$1:M$1,0))</f>
        <v>15.28</v>
      </c>
      <c r="E355" s="26">
        <v>6292</v>
      </c>
      <c r="F355" s="27">
        <v>4200</v>
      </c>
      <c r="G355" s="35">
        <f>_xlfn.XLOOKUP(A355,Bevölkerung!A:A,Bevölkerung!B:B)</f>
        <v>8606033</v>
      </c>
      <c r="H355" s="28">
        <f t="shared" si="33"/>
        <v>2049.0554761904764</v>
      </c>
      <c r="I355" s="24">
        <f t="shared" si="30"/>
        <v>889.83050847457616</v>
      </c>
      <c r="J355" s="32">
        <f t="shared" si="34"/>
        <v>1.4980952380952381</v>
      </c>
      <c r="K355" s="25">
        <f t="shared" si="35"/>
        <v>2092</v>
      </c>
    </row>
    <row r="356" spans="1:11" x14ac:dyDescent="0.3">
      <c r="A356" s="25">
        <f t="shared" si="31"/>
        <v>2019</v>
      </c>
      <c r="B356" s="25" t="s">
        <v>7</v>
      </c>
      <c r="C356" s="25" t="str">
        <f t="shared" si="32"/>
        <v>Sommer</v>
      </c>
      <c r="D356" s="25">
        <f>INDEX(Wetter!B:M,MATCH(A356,Wetter!A:A,0),MATCH(B356,Wetter!B$1:M$1,0))</f>
        <v>16.22</v>
      </c>
      <c r="E356" s="26">
        <v>7695</v>
      </c>
      <c r="F356" s="27">
        <v>4195</v>
      </c>
      <c r="G356" s="35">
        <f>_xlfn.XLOOKUP(A356,Bevölkerung!A:A,Bevölkerung!B:B)</f>
        <v>8606033</v>
      </c>
      <c r="H356" s="28">
        <f t="shared" si="33"/>
        <v>2051.4977353992849</v>
      </c>
      <c r="I356" s="24">
        <f t="shared" si="30"/>
        <v>1109.7883597883595</v>
      </c>
      <c r="J356" s="32">
        <f t="shared" si="34"/>
        <v>1.834326579261025</v>
      </c>
      <c r="K356" s="25">
        <f t="shared" si="35"/>
        <v>3500</v>
      </c>
    </row>
    <row r="357" spans="1:11" x14ac:dyDescent="0.3">
      <c r="A357" s="25">
        <f t="shared" si="31"/>
        <v>2019</v>
      </c>
      <c r="B357" s="25" t="s">
        <v>8</v>
      </c>
      <c r="C357" s="25" t="str">
        <f t="shared" si="32"/>
        <v>Sommer</v>
      </c>
      <c r="D357" s="25">
        <f>INDEX(Wetter!B:M,MATCH(A357,Wetter!A:A,0),MATCH(B357,Wetter!B$1:M$1,0))</f>
        <v>15.12</v>
      </c>
      <c r="E357" s="27">
        <v>7298</v>
      </c>
      <c r="F357" s="27">
        <v>4125</v>
      </c>
      <c r="G357" s="35">
        <f>_xlfn.XLOOKUP(A357,Bevölkerung!A:A,Bevölkerung!B:B)</f>
        <v>8606033</v>
      </c>
      <c r="H357" s="28">
        <f t="shared" si="33"/>
        <v>2086.3110303030303</v>
      </c>
      <c r="I357" s="24">
        <f t="shared" si="30"/>
        <v>845.28688524590154</v>
      </c>
      <c r="J357" s="32">
        <f t="shared" si="34"/>
        <v>1.7692121212121212</v>
      </c>
      <c r="K357" s="25">
        <f t="shared" si="35"/>
        <v>3173</v>
      </c>
    </row>
    <row r="358" spans="1:11" x14ac:dyDescent="0.3">
      <c r="A358" s="25">
        <f t="shared" si="31"/>
        <v>2019</v>
      </c>
      <c r="B358" s="25" t="s">
        <v>9</v>
      </c>
      <c r="C358" s="25" t="str">
        <f t="shared" si="32"/>
        <v>Herbst</v>
      </c>
      <c r="D358" s="25">
        <f>INDEX(Wetter!B:M,MATCH(A358,Wetter!A:A,0),MATCH(B358,Wetter!B$1:M$1,0))</f>
        <v>11.4</v>
      </c>
      <c r="E358" s="27">
        <v>5722</v>
      </c>
      <c r="F358" s="27">
        <v>4282</v>
      </c>
      <c r="G358" s="35">
        <f>_xlfn.XLOOKUP(A358,Bevölkerung!A:A,Bevölkerung!B:B)</f>
        <v>8606033</v>
      </c>
      <c r="H358" s="28">
        <f t="shared" si="33"/>
        <v>2009.8162073797291</v>
      </c>
      <c r="I358" s="24">
        <f t="shared" si="30"/>
        <v>497.90697674418607</v>
      </c>
      <c r="J358" s="32">
        <f t="shared" si="34"/>
        <v>1.3362914525922467</v>
      </c>
      <c r="K358" s="25">
        <f t="shared" si="35"/>
        <v>1440</v>
      </c>
    </row>
    <row r="359" spans="1:11" x14ac:dyDescent="0.3">
      <c r="A359" s="25">
        <f t="shared" si="31"/>
        <v>2019</v>
      </c>
      <c r="B359" s="25" t="s">
        <v>10</v>
      </c>
      <c r="C359" s="25" t="str">
        <f t="shared" si="32"/>
        <v>Herbst</v>
      </c>
      <c r="D359" s="25">
        <f>INDEX(Wetter!B:M,MATCH(A359,Wetter!A:A,0),MATCH(B359,Wetter!B$1:M$1,0))</f>
        <v>8.4600000000000009</v>
      </c>
      <c r="E359" s="26">
        <v>6197</v>
      </c>
      <c r="F359" s="27">
        <v>4718</v>
      </c>
      <c r="G359" s="35">
        <f>_xlfn.XLOOKUP(A359,Bevölkerung!A:A,Bevölkerung!B:B)</f>
        <v>8606033</v>
      </c>
      <c r="H359" s="28">
        <f t="shared" si="33"/>
        <v>1824.0849936413736</v>
      </c>
      <c r="I359" s="24">
        <f t="shared" si="30"/>
        <v>408.83882149046798</v>
      </c>
      <c r="J359" s="32">
        <f t="shared" si="34"/>
        <v>1.3134802882577363</v>
      </c>
      <c r="K359" s="25">
        <f t="shared" si="35"/>
        <v>1479</v>
      </c>
    </row>
    <row r="360" spans="1:11" x14ac:dyDescent="0.3">
      <c r="A360" s="25">
        <f t="shared" si="31"/>
        <v>2019</v>
      </c>
      <c r="B360" s="25" t="s">
        <v>11</v>
      </c>
      <c r="C360" s="25" t="str">
        <f t="shared" si="32"/>
        <v>Herbst</v>
      </c>
      <c r="D360" s="25">
        <f>INDEX(Wetter!B:M,MATCH(A360,Wetter!A:A,0),MATCH(B360,Wetter!B$1:M$1,0))</f>
        <v>1.51</v>
      </c>
      <c r="E360" s="26">
        <v>6003</v>
      </c>
      <c r="F360" s="27">
        <v>5118</v>
      </c>
      <c r="G360" s="35">
        <f>_xlfn.XLOOKUP(A360,Bevölkerung!A:A,Bevölkerung!B:B)</f>
        <v>8606033</v>
      </c>
      <c r="H360" s="28">
        <f t="shared" si="33"/>
        <v>1681.5226651035562</v>
      </c>
      <c r="I360" s="24">
        <f t="shared" si="30"/>
        <v>276.79826933477557</v>
      </c>
      <c r="J360" s="32">
        <f t="shared" si="34"/>
        <v>1.1729191090269637</v>
      </c>
      <c r="K360" s="25">
        <f t="shared" si="35"/>
        <v>885</v>
      </c>
    </row>
    <row r="361" spans="1:11" x14ac:dyDescent="0.3">
      <c r="A361" s="25">
        <f t="shared" si="31"/>
        <v>2019</v>
      </c>
      <c r="B361" s="25" t="s">
        <v>12</v>
      </c>
      <c r="C361" s="25" t="str">
        <f t="shared" si="32"/>
        <v>Winter</v>
      </c>
      <c r="D361" s="25">
        <f>INDEX(Wetter!B:M,MATCH(A361,Wetter!A:A,0),MATCH(B361,Wetter!B$1:M$1,0))</f>
        <v>0.77</v>
      </c>
      <c r="E361" s="26">
        <v>5774</v>
      </c>
      <c r="F361" s="27">
        <v>5316</v>
      </c>
      <c r="G361" s="35">
        <f>_xlfn.XLOOKUP(A361,Bevölkerung!A:A,Bevölkerung!B:B)</f>
        <v>8606033</v>
      </c>
      <c r="H361" s="28">
        <f t="shared" si="33"/>
        <v>1618.89258841234</v>
      </c>
      <c r="I361" s="24">
        <f t="shared" si="30"/>
        <v>276.44305772230888</v>
      </c>
      <c r="J361" s="32">
        <f t="shared" si="34"/>
        <v>1.0861550037622272</v>
      </c>
      <c r="K361" s="25">
        <f t="shared" si="35"/>
        <v>458</v>
      </c>
    </row>
    <row r="362" spans="1:11" x14ac:dyDescent="0.3">
      <c r="A362" s="25">
        <f t="shared" si="31"/>
        <v>2020</v>
      </c>
      <c r="B362" s="25" t="s">
        <v>1</v>
      </c>
      <c r="C362" s="25" t="str">
        <f t="shared" si="32"/>
        <v>Winter</v>
      </c>
      <c r="D362" s="25">
        <f>INDEX(Wetter!B:M,MATCH(A362,Wetter!A:A,0),MATCH(B362,Wetter!B$1:M$1,0))</f>
        <v>-0.28000000000000003</v>
      </c>
      <c r="E362" s="26">
        <v>5895</v>
      </c>
      <c r="F362" s="27">
        <v>5503</v>
      </c>
      <c r="G362" s="35">
        <f>_xlfn.XLOOKUP(A362,Bevölkerung!A:A,Bevölkerung!B:B)</f>
        <v>8670300</v>
      </c>
      <c r="H362" s="28">
        <f t="shared" si="33"/>
        <v>1575.5587861166637</v>
      </c>
      <c r="I362" s="24">
        <f t="shared" si="30"/>
        <v>271.35108481262324</v>
      </c>
      <c r="J362" s="32">
        <f t="shared" si="34"/>
        <v>1.0712338724332182</v>
      </c>
      <c r="K362" s="25">
        <f t="shared" si="35"/>
        <v>392</v>
      </c>
    </row>
    <row r="363" spans="1:11" x14ac:dyDescent="0.3">
      <c r="A363" s="25">
        <f t="shared" si="31"/>
        <v>2020</v>
      </c>
      <c r="B363" s="25" t="s">
        <v>2</v>
      </c>
      <c r="C363" s="25" t="str">
        <f t="shared" si="32"/>
        <v>Winter</v>
      </c>
      <c r="D363" s="25">
        <f>INDEX(Wetter!B:M,MATCH(A363,Wetter!A:A,0),MATCH(B363,Wetter!B$1:M$1,0))</f>
        <v>1.64</v>
      </c>
      <c r="E363" s="26">
        <v>5308</v>
      </c>
      <c r="F363" s="27">
        <v>4959</v>
      </c>
      <c r="G363" s="35">
        <f>_xlfn.XLOOKUP(A363,Bevölkerung!A:A,Bevölkerung!B:B)</f>
        <v>8670300</v>
      </c>
      <c r="H363" s="28">
        <f t="shared" si="33"/>
        <v>1748.3968542044768</v>
      </c>
      <c r="I363" s="24">
        <f t="shared" si="30"/>
        <v>270.0980392156863</v>
      </c>
      <c r="J363" s="32">
        <f t="shared" si="34"/>
        <v>1.0703770921556766</v>
      </c>
      <c r="K363" s="25">
        <f t="shared" si="35"/>
        <v>349</v>
      </c>
    </row>
    <row r="364" spans="1:11" x14ac:dyDescent="0.3">
      <c r="A364" s="25">
        <f t="shared" si="31"/>
        <v>2020</v>
      </c>
      <c r="B364" s="25" t="s">
        <v>3</v>
      </c>
      <c r="C364" s="25" t="str">
        <f t="shared" si="32"/>
        <v>Frühling</v>
      </c>
      <c r="D364" s="25">
        <f>INDEX(Wetter!B:M,MATCH(A364,Wetter!A:A,0),MATCH(B364,Wetter!B$1:M$1,0))</f>
        <v>1.57</v>
      </c>
      <c r="E364" s="26">
        <v>5759</v>
      </c>
      <c r="F364" s="27">
        <v>4956</v>
      </c>
      <c r="G364" s="35">
        <f>_xlfn.XLOOKUP(A364,Bevölkerung!A:A,Bevölkerung!B:B)</f>
        <v>8670300</v>
      </c>
      <c r="H364" s="28">
        <f t="shared" si="33"/>
        <v>1749.4552058111381</v>
      </c>
      <c r="I364" s="24">
        <f t="shared" si="30"/>
        <v>268.90938686923494</v>
      </c>
      <c r="J364" s="32">
        <f t="shared" si="34"/>
        <v>1.1620258272800645</v>
      </c>
      <c r="K364" s="25">
        <f t="shared" si="35"/>
        <v>803</v>
      </c>
    </row>
    <row r="365" spans="1:11" x14ac:dyDescent="0.3">
      <c r="A365" s="25">
        <f t="shared" si="31"/>
        <v>2020</v>
      </c>
      <c r="B365" s="25" t="s">
        <v>4</v>
      </c>
      <c r="C365" s="25" t="str">
        <f t="shared" si="32"/>
        <v>Frühling</v>
      </c>
      <c r="D365" s="25">
        <f>INDEX(Wetter!B:M,MATCH(A365,Wetter!A:A,0),MATCH(B365,Wetter!B$1:M$1,0))</f>
        <v>7.65</v>
      </c>
      <c r="E365" s="26">
        <v>5368</v>
      </c>
      <c r="F365" s="27">
        <v>4083</v>
      </c>
      <c r="G365" s="35">
        <f>_xlfn.XLOOKUP(A365,Bevölkerung!A:A,Bevölkerung!B:B)</f>
        <v>8670300</v>
      </c>
      <c r="H365" s="28">
        <f t="shared" si="33"/>
        <v>2123.5121234386479</v>
      </c>
      <c r="I365" s="24">
        <f t="shared" si="30"/>
        <v>330.60728744939274</v>
      </c>
      <c r="J365" s="32">
        <f t="shared" si="34"/>
        <v>1.3147195689444036</v>
      </c>
      <c r="K365" s="25">
        <f t="shared" si="35"/>
        <v>1285</v>
      </c>
    </row>
    <row r="366" spans="1:11" x14ac:dyDescent="0.3">
      <c r="A366" s="25">
        <f t="shared" si="31"/>
        <v>2020</v>
      </c>
      <c r="B366" s="25" t="s">
        <v>5</v>
      </c>
      <c r="C366" s="25" t="str">
        <f t="shared" si="32"/>
        <v>Frühling</v>
      </c>
      <c r="D366" s="25">
        <f>INDEX(Wetter!B:M,MATCH(A366,Wetter!A:A,0),MATCH(B366,Wetter!B$1:M$1,0))</f>
        <v>9.57</v>
      </c>
      <c r="E366" s="26">
        <v>6268</v>
      </c>
      <c r="F366" s="27">
        <v>4251</v>
      </c>
      <c r="G366" s="35">
        <f>_xlfn.XLOOKUP(A366,Bevölkerung!A:A,Bevölkerung!B:B)</f>
        <v>8670300</v>
      </c>
      <c r="H366" s="28">
        <f t="shared" si="33"/>
        <v>2039.590684544813</v>
      </c>
      <c r="I366" s="24">
        <f t="shared" si="30"/>
        <v>407.57430488974114</v>
      </c>
      <c r="J366" s="32">
        <f t="shared" si="34"/>
        <v>1.4744765937426487</v>
      </c>
      <c r="K366" s="25">
        <f t="shared" si="35"/>
        <v>2017</v>
      </c>
    </row>
    <row r="367" spans="1:11" x14ac:dyDescent="0.3">
      <c r="A367" s="25">
        <f t="shared" si="31"/>
        <v>2020</v>
      </c>
      <c r="B367" s="25" t="s">
        <v>6</v>
      </c>
      <c r="C367" s="25" t="str">
        <f t="shared" si="32"/>
        <v>Sommer</v>
      </c>
      <c r="D367" s="25">
        <f>INDEX(Wetter!B:M,MATCH(A367,Wetter!A:A,0),MATCH(B367,Wetter!B$1:M$1,0))</f>
        <v>11.85</v>
      </c>
      <c r="E367" s="26">
        <v>6249</v>
      </c>
      <c r="F367" s="27">
        <v>4192</v>
      </c>
      <c r="G367" s="35">
        <f>_xlfn.XLOOKUP(A367,Bevölkerung!A:A,Bevölkerung!B:B)</f>
        <v>8670300</v>
      </c>
      <c r="H367" s="28">
        <f t="shared" si="33"/>
        <v>2068.2967557251909</v>
      </c>
      <c r="I367" s="24">
        <f t="shared" si="30"/>
        <v>514.35582822085883</v>
      </c>
      <c r="J367" s="32">
        <f t="shared" si="34"/>
        <v>1.4906965648854962</v>
      </c>
      <c r="K367" s="25">
        <f t="shared" si="35"/>
        <v>2057</v>
      </c>
    </row>
    <row r="368" spans="1:11" x14ac:dyDescent="0.3">
      <c r="A368" s="25">
        <f t="shared" si="31"/>
        <v>2020</v>
      </c>
      <c r="B368" s="25" t="s">
        <v>7</v>
      </c>
      <c r="C368" s="25" t="str">
        <f t="shared" si="32"/>
        <v>Sommer</v>
      </c>
      <c r="D368" s="25">
        <f>INDEX(Wetter!B:M,MATCH(A368,Wetter!A:A,0),MATCH(B368,Wetter!B$1:M$1,0))</f>
        <v>15.42</v>
      </c>
      <c r="E368" s="26">
        <v>6366</v>
      </c>
      <c r="F368" s="27">
        <v>4209</v>
      </c>
      <c r="G368" s="35">
        <f>_xlfn.XLOOKUP(A368,Bevölkerung!A:A,Bevölkerung!B:B)</f>
        <v>8670300</v>
      </c>
      <c r="H368" s="28">
        <f t="shared" si="33"/>
        <v>2059.9429793300073</v>
      </c>
      <c r="I368" s="24">
        <f t="shared" si="30"/>
        <v>918.99563318777291</v>
      </c>
      <c r="J368" s="32">
        <f t="shared" si="34"/>
        <v>1.5124732715609408</v>
      </c>
      <c r="K368" s="25">
        <f t="shared" si="35"/>
        <v>2157</v>
      </c>
    </row>
    <row r="369" spans="1:11" x14ac:dyDescent="0.3">
      <c r="A369" s="25">
        <f t="shared" si="31"/>
        <v>2020</v>
      </c>
      <c r="B369" s="25" t="s">
        <v>8</v>
      </c>
      <c r="C369" s="25" t="str">
        <f t="shared" si="32"/>
        <v>Sommer</v>
      </c>
      <c r="D369" s="25">
        <f>INDEX(Wetter!B:M,MATCH(A369,Wetter!A:A,0),MATCH(B369,Wetter!B$1:M$1,0))</f>
        <v>15.22</v>
      </c>
      <c r="E369" s="26">
        <v>6149</v>
      </c>
      <c r="F369" s="27">
        <v>4213</v>
      </c>
      <c r="G369" s="35">
        <f>_xlfn.XLOOKUP(A369,Bevölkerung!A:A,Bevölkerung!B:B)</f>
        <v>8670300</v>
      </c>
      <c r="H369" s="28">
        <f t="shared" si="33"/>
        <v>2057.9871825302635</v>
      </c>
      <c r="I369" s="24">
        <f t="shared" si="30"/>
        <v>881.38075313807542</v>
      </c>
      <c r="J369" s="32">
        <f t="shared" si="34"/>
        <v>1.4595300261096606</v>
      </c>
      <c r="K369" s="25">
        <f t="shared" si="35"/>
        <v>1936</v>
      </c>
    </row>
    <row r="370" spans="1:11" x14ac:dyDescent="0.3">
      <c r="A370" s="25">
        <f t="shared" si="31"/>
        <v>2020</v>
      </c>
      <c r="B370" s="25" t="s">
        <v>9</v>
      </c>
      <c r="C370" s="25" t="str">
        <f t="shared" si="32"/>
        <v>Herbst</v>
      </c>
      <c r="D370" s="25">
        <f>INDEX(Wetter!B:M,MATCH(A370,Wetter!A:A,0),MATCH(B370,Wetter!B$1:M$1,0))</f>
        <v>11.9</v>
      </c>
      <c r="E370" s="26">
        <v>5980</v>
      </c>
      <c r="F370" s="27">
        <v>4306</v>
      </c>
      <c r="G370" s="35">
        <f>_xlfn.XLOOKUP(A370,Bevölkerung!A:A,Bevölkerung!B:B)</f>
        <v>8670300</v>
      </c>
      <c r="H370" s="28">
        <f t="shared" si="33"/>
        <v>2013.539247561542</v>
      </c>
      <c r="I370" s="24">
        <f t="shared" si="30"/>
        <v>531.60493827160496</v>
      </c>
      <c r="J370" s="32">
        <f t="shared" si="34"/>
        <v>1.3887598699489085</v>
      </c>
      <c r="K370" s="25">
        <f t="shared" si="35"/>
        <v>1674</v>
      </c>
    </row>
    <row r="371" spans="1:11" x14ac:dyDescent="0.3">
      <c r="A371" s="25">
        <f t="shared" si="31"/>
        <v>2020</v>
      </c>
      <c r="B371" s="25" t="s">
        <v>10</v>
      </c>
      <c r="C371" s="25" t="str">
        <f t="shared" si="32"/>
        <v>Herbst</v>
      </c>
      <c r="D371" s="25">
        <f>INDEX(Wetter!B:M,MATCH(A371,Wetter!A:A,0),MATCH(B371,Wetter!B$1:M$1,0))</f>
        <v>5.38</v>
      </c>
      <c r="E371" s="26">
        <v>6051</v>
      </c>
      <c r="F371" s="27">
        <v>4832</v>
      </c>
      <c r="G371" s="35">
        <f>_xlfn.XLOOKUP(A371,Bevölkerung!A:A,Bevölkerung!B:B)</f>
        <v>8670300</v>
      </c>
      <c r="H371" s="28">
        <f t="shared" si="33"/>
        <v>1794.3501655629138</v>
      </c>
      <c r="I371" s="24">
        <f t="shared" si="30"/>
        <v>330.50615595075237</v>
      </c>
      <c r="J371" s="32">
        <f t="shared" si="34"/>
        <v>1.2522764900662251</v>
      </c>
      <c r="K371" s="25">
        <f t="shared" si="35"/>
        <v>1219</v>
      </c>
    </row>
    <row r="372" spans="1:11" x14ac:dyDescent="0.3">
      <c r="A372" s="25">
        <f t="shared" si="31"/>
        <v>2020</v>
      </c>
      <c r="B372" s="25" t="s">
        <v>11</v>
      </c>
      <c r="C372" s="25" t="str">
        <f t="shared" si="32"/>
        <v>Herbst</v>
      </c>
      <c r="D372" s="25">
        <f>INDEX(Wetter!B:M,MATCH(A372,Wetter!A:A,0),MATCH(B372,Wetter!B$1:M$1,0))</f>
        <v>3.69</v>
      </c>
      <c r="E372" s="26">
        <v>5595</v>
      </c>
      <c r="F372" s="27">
        <v>5065</v>
      </c>
      <c r="G372" s="35">
        <f>_xlfn.XLOOKUP(A372,Bevölkerung!A:A,Bevölkerung!B:B)</f>
        <v>8670300</v>
      </c>
      <c r="H372" s="28">
        <f t="shared" si="33"/>
        <v>1711.8065153010859</v>
      </c>
      <c r="I372" s="24">
        <f t="shared" si="30"/>
        <v>310.54567749846723</v>
      </c>
      <c r="J372" s="32">
        <f t="shared" si="34"/>
        <v>1.104639684106614</v>
      </c>
      <c r="K372" s="25">
        <f t="shared" si="35"/>
        <v>530</v>
      </c>
    </row>
    <row r="373" spans="1:11" x14ac:dyDescent="0.3">
      <c r="A373" s="25">
        <f t="shared" si="31"/>
        <v>2020</v>
      </c>
      <c r="B373" s="25" t="s">
        <v>12</v>
      </c>
      <c r="C373" s="25" t="str">
        <f t="shared" si="32"/>
        <v>Winter</v>
      </c>
      <c r="D373" s="25">
        <f>INDEX(Wetter!B:M,MATCH(A373,Wetter!A:A,0),MATCH(B373,Wetter!B$1:M$1,0))</f>
        <v>-1.2</v>
      </c>
      <c r="E373" s="26">
        <v>5343</v>
      </c>
      <c r="F373" s="27">
        <v>5528</v>
      </c>
      <c r="G373" s="35">
        <f>_xlfn.XLOOKUP(A373,Bevölkerung!A:A,Bevölkerung!B:B)</f>
        <v>8670300</v>
      </c>
      <c r="H373" s="28">
        <f t="shared" si="33"/>
        <v>1568.433429811867</v>
      </c>
      <c r="I373" s="24">
        <f t="shared" si="30"/>
        <v>260.75471698113211</v>
      </c>
      <c r="J373" s="32">
        <f t="shared" si="34"/>
        <v>0.96653400868306805</v>
      </c>
      <c r="K373" s="25">
        <f t="shared" si="35"/>
        <v>-185</v>
      </c>
    </row>
    <row r="374" spans="1:11" x14ac:dyDescent="0.3">
      <c r="A374" s="25">
        <f t="shared" si="31"/>
        <v>2021</v>
      </c>
      <c r="B374" s="25" t="s">
        <v>1</v>
      </c>
      <c r="C374" s="25" t="str">
        <f t="shared" si="32"/>
        <v>Winter</v>
      </c>
      <c r="D374" s="25">
        <f>INDEX(Wetter!B:M,MATCH(A374,Wetter!A:A,0),MATCH(B374,Wetter!B$1:M$1,0))</f>
        <v>-3.56</v>
      </c>
      <c r="E374" s="26">
        <v>5798</v>
      </c>
      <c r="F374" s="27">
        <v>5748</v>
      </c>
      <c r="G374" s="35">
        <f>_xlfn.XLOOKUP(A374,Bevölkerung!A:A,Bevölkerung!B:B)</f>
        <v>8738791</v>
      </c>
      <c r="H374" s="28">
        <f t="shared" si="33"/>
        <v>1520.3185455810717</v>
      </c>
      <c r="I374" s="24">
        <f t="shared" si="30"/>
        <v>243.9728353140917</v>
      </c>
      <c r="J374" s="32">
        <f t="shared" si="34"/>
        <v>1.0086986778009743</v>
      </c>
      <c r="K374" s="25">
        <f t="shared" si="35"/>
        <v>50</v>
      </c>
    </row>
    <row r="375" spans="1:11" x14ac:dyDescent="0.3">
      <c r="A375" s="25">
        <f t="shared" si="31"/>
        <v>2021</v>
      </c>
      <c r="B375" s="25" t="s">
        <v>2</v>
      </c>
      <c r="C375" s="25" t="str">
        <f t="shared" si="32"/>
        <v>Winter</v>
      </c>
      <c r="D375" s="25">
        <f>INDEX(Wetter!B:M,MATCH(A375,Wetter!A:A,0),MATCH(B375,Wetter!B$1:M$1,0))</f>
        <v>0.84</v>
      </c>
      <c r="E375" s="26">
        <v>5178</v>
      </c>
      <c r="F375" s="27">
        <v>4958</v>
      </c>
      <c r="G375" s="35">
        <f>_xlfn.XLOOKUP(A375,Bevölkerung!A:A,Bevölkerung!B:B)</f>
        <v>8738791</v>
      </c>
      <c r="H375" s="28">
        <f t="shared" si="33"/>
        <v>1762.5637353771683</v>
      </c>
      <c r="I375" s="24">
        <f t="shared" si="30"/>
        <v>258.76826722338205</v>
      </c>
      <c r="J375" s="32">
        <f t="shared" si="34"/>
        <v>1.0443727309398951</v>
      </c>
      <c r="K375" s="25">
        <f t="shared" si="35"/>
        <v>220</v>
      </c>
    </row>
    <row r="376" spans="1:11" x14ac:dyDescent="0.3">
      <c r="A376" s="25">
        <f t="shared" si="31"/>
        <v>2021</v>
      </c>
      <c r="B376" s="25" t="s">
        <v>3</v>
      </c>
      <c r="C376" s="25" t="str">
        <f t="shared" si="32"/>
        <v>Frühling</v>
      </c>
      <c r="D376" s="25">
        <f>INDEX(Wetter!B:M,MATCH(A376,Wetter!A:A,0),MATCH(B376,Wetter!B$1:M$1,0))</f>
        <v>0.95</v>
      </c>
      <c r="E376" s="26">
        <v>5505</v>
      </c>
      <c r="F376" s="27">
        <v>5275</v>
      </c>
      <c r="G376" s="35">
        <f>_xlfn.XLOOKUP(A376,Bevölkerung!A:A,Bevölkerung!B:B)</f>
        <v>8738791</v>
      </c>
      <c r="H376" s="28">
        <f t="shared" si="33"/>
        <v>1656.6428436018957</v>
      </c>
      <c r="I376" s="24">
        <f t="shared" si="30"/>
        <v>276.90288713910758</v>
      </c>
      <c r="J376" s="32">
        <f t="shared" si="34"/>
        <v>1.0436018957345972</v>
      </c>
      <c r="K376" s="25">
        <f t="shared" si="35"/>
        <v>230</v>
      </c>
    </row>
    <row r="377" spans="1:11" x14ac:dyDescent="0.3">
      <c r="A377" s="25">
        <f t="shared" si="31"/>
        <v>2021</v>
      </c>
      <c r="B377" s="25" t="s">
        <v>4</v>
      </c>
      <c r="C377" s="25" t="str">
        <f t="shared" si="32"/>
        <v>Frühling</v>
      </c>
      <c r="D377" s="25">
        <f>INDEX(Wetter!B:M,MATCH(A377,Wetter!A:A,0),MATCH(B377,Wetter!B$1:M$1,0))</f>
        <v>2.9</v>
      </c>
      <c r="E377" s="26">
        <v>5098</v>
      </c>
      <c r="F377" s="27">
        <v>4680</v>
      </c>
      <c r="G377" s="35">
        <f>_xlfn.XLOOKUP(A377,Bevölkerung!A:A,Bevölkerung!B:B)</f>
        <v>8738791</v>
      </c>
      <c r="H377" s="28">
        <f t="shared" si="33"/>
        <v>1867.2630341880342</v>
      </c>
      <c r="I377" s="24">
        <f t="shared" si="30"/>
        <v>273.68421052631578</v>
      </c>
      <c r="J377" s="32">
        <f t="shared" si="34"/>
        <v>1.0893162393162392</v>
      </c>
      <c r="K377" s="25">
        <f t="shared" si="35"/>
        <v>418</v>
      </c>
    </row>
    <row r="378" spans="1:11" x14ac:dyDescent="0.3">
      <c r="A378" s="25">
        <f t="shared" si="31"/>
        <v>2021</v>
      </c>
      <c r="B378" s="25" t="s">
        <v>5</v>
      </c>
      <c r="C378" s="25" t="str">
        <f t="shared" si="32"/>
        <v>Frühling</v>
      </c>
      <c r="D378" s="25">
        <f>INDEX(Wetter!B:M,MATCH(A378,Wetter!A:A,0),MATCH(B378,Wetter!B$1:M$1,0))</f>
        <v>6.25</v>
      </c>
      <c r="E378" s="26">
        <v>5507</v>
      </c>
      <c r="F378" s="27">
        <v>4595</v>
      </c>
      <c r="G378" s="35">
        <f>_xlfn.XLOOKUP(A378,Bevölkerung!A:A,Bevölkerung!B:B)</f>
        <v>8738791</v>
      </c>
      <c r="H378" s="28">
        <f t="shared" si="33"/>
        <v>1901.8043525571272</v>
      </c>
      <c r="I378" s="24">
        <f t="shared" si="30"/>
        <v>334.18181818181819</v>
      </c>
      <c r="J378" s="32">
        <f t="shared" si="34"/>
        <v>1.1984766050054407</v>
      </c>
      <c r="K378" s="25">
        <f t="shared" si="35"/>
        <v>912</v>
      </c>
    </row>
    <row r="379" spans="1:11" x14ac:dyDescent="0.3">
      <c r="A379" s="25">
        <f t="shared" si="31"/>
        <v>2021</v>
      </c>
      <c r="B379" s="25" t="s">
        <v>6</v>
      </c>
      <c r="C379" s="25" t="str">
        <f t="shared" si="32"/>
        <v>Sommer</v>
      </c>
      <c r="D379" s="25">
        <f>INDEX(Wetter!B:M,MATCH(A379,Wetter!A:A,0),MATCH(B379,Wetter!B$1:M$1,0))</f>
        <v>14.39</v>
      </c>
      <c r="E379" s="26">
        <v>6134</v>
      </c>
      <c r="F379" s="27">
        <v>4365</v>
      </c>
      <c r="G379" s="35">
        <f>_xlfn.XLOOKUP(A379,Bevölkerung!A:A,Bevölkerung!B:B)</f>
        <v>8738791</v>
      </c>
      <c r="H379" s="28">
        <f t="shared" si="33"/>
        <v>2002.0139747995418</v>
      </c>
      <c r="I379" s="24">
        <f t="shared" si="30"/>
        <v>778.07486631016047</v>
      </c>
      <c r="J379" s="32">
        <f t="shared" si="34"/>
        <v>1.4052691867124856</v>
      </c>
      <c r="K379" s="25">
        <f t="shared" si="35"/>
        <v>1769</v>
      </c>
    </row>
    <row r="380" spans="1:11" x14ac:dyDescent="0.3">
      <c r="A380" s="25">
        <f t="shared" si="31"/>
        <v>2021</v>
      </c>
      <c r="B380" s="25" t="s">
        <v>7</v>
      </c>
      <c r="C380" s="25" t="str">
        <f t="shared" si="32"/>
        <v>Sommer</v>
      </c>
      <c r="D380" s="25">
        <f>INDEX(Wetter!B:M,MATCH(A380,Wetter!A:A,0),MATCH(B380,Wetter!B$1:M$1,0))</f>
        <v>13.91</v>
      </c>
      <c r="E380" s="26">
        <v>6891</v>
      </c>
      <c r="F380" s="27">
        <v>4436</v>
      </c>
      <c r="G380" s="35">
        <f>_xlfn.XLOOKUP(A380,Bevölkerung!A:A,Bevölkerung!B:B)</f>
        <v>8738791</v>
      </c>
      <c r="H380" s="28">
        <f t="shared" si="33"/>
        <v>1969.9709197475204</v>
      </c>
      <c r="I380" s="24">
        <f t="shared" si="30"/>
        <v>728.40722495894909</v>
      </c>
      <c r="J380" s="32">
        <f t="shared" si="34"/>
        <v>1.5534265103697025</v>
      </c>
      <c r="K380" s="25">
        <f t="shared" si="35"/>
        <v>2455</v>
      </c>
    </row>
    <row r="381" spans="1:11" x14ac:dyDescent="0.3">
      <c r="A381" s="25">
        <f t="shared" si="31"/>
        <v>2021</v>
      </c>
      <c r="B381" s="25" t="s">
        <v>8</v>
      </c>
      <c r="C381" s="25" t="str">
        <f t="shared" si="32"/>
        <v>Sommer</v>
      </c>
      <c r="D381" s="25">
        <f>INDEX(Wetter!B:M,MATCH(A381,Wetter!A:A,0),MATCH(B381,Wetter!B$1:M$1,0))</f>
        <v>13.12</v>
      </c>
      <c r="E381" s="26">
        <v>6163</v>
      </c>
      <c r="F381" s="27">
        <v>4307</v>
      </c>
      <c r="G381" s="35">
        <f>_xlfn.XLOOKUP(A381,Bevölkerung!A:A,Bevölkerung!B:B)</f>
        <v>8738791</v>
      </c>
      <c r="H381" s="28">
        <f t="shared" si="33"/>
        <v>2028.973995820757</v>
      </c>
      <c r="I381" s="24">
        <f t="shared" si="30"/>
        <v>626.01744186046506</v>
      </c>
      <c r="J381" s="32">
        <f t="shared" si="34"/>
        <v>1.4309263988855352</v>
      </c>
      <c r="K381" s="25">
        <f t="shared" si="35"/>
        <v>1856</v>
      </c>
    </row>
    <row r="382" spans="1:11" x14ac:dyDescent="0.3">
      <c r="A382" s="25">
        <f t="shared" si="31"/>
        <v>2021</v>
      </c>
      <c r="B382" s="25" t="s">
        <v>9</v>
      </c>
      <c r="C382" s="25" t="str">
        <f t="shared" si="32"/>
        <v>Herbst</v>
      </c>
      <c r="D382" s="25">
        <f>INDEX(Wetter!B:M,MATCH(A382,Wetter!A:A,0),MATCH(B382,Wetter!B$1:M$1,0))</f>
        <v>12.15</v>
      </c>
      <c r="E382" s="26">
        <v>4796</v>
      </c>
      <c r="F382" s="27">
        <v>4422</v>
      </c>
      <c r="G382" s="35">
        <f>_xlfn.XLOOKUP(A382,Bevölkerung!A:A,Bevölkerung!B:B)</f>
        <v>8738791</v>
      </c>
      <c r="H382" s="28">
        <f t="shared" si="33"/>
        <v>1976.2078245137948</v>
      </c>
      <c r="I382" s="24">
        <f t="shared" si="30"/>
        <v>563.31210191082801</v>
      </c>
      <c r="J382" s="32">
        <f t="shared" si="34"/>
        <v>1.0845771144278606</v>
      </c>
      <c r="K382" s="25">
        <f t="shared" si="35"/>
        <v>374</v>
      </c>
    </row>
    <row r="383" spans="1:11" x14ac:dyDescent="0.3">
      <c r="A383" s="25">
        <f t="shared" si="31"/>
        <v>2021</v>
      </c>
      <c r="B383" s="25" t="s">
        <v>10</v>
      </c>
      <c r="C383" s="25" t="str">
        <f t="shared" si="32"/>
        <v>Herbst</v>
      </c>
      <c r="D383" s="25">
        <f>INDEX(Wetter!B:M,MATCH(A383,Wetter!A:A,0),MATCH(B383,Wetter!B$1:M$1,0))</f>
        <v>6.28</v>
      </c>
      <c r="E383" s="26">
        <v>4234</v>
      </c>
      <c r="F383" s="27">
        <v>4879</v>
      </c>
      <c r="G383" s="35">
        <f>_xlfn.XLOOKUP(A383,Bevölkerung!A:A,Bevölkerung!B:B)</f>
        <v>8738791</v>
      </c>
      <c r="H383" s="28">
        <f t="shared" si="33"/>
        <v>1791.1028899364624</v>
      </c>
      <c r="I383" s="24">
        <f t="shared" si="30"/>
        <v>355.61224489795921</v>
      </c>
      <c r="J383" s="32">
        <f t="shared" si="34"/>
        <v>0.86780077884812457</v>
      </c>
      <c r="K383" s="25">
        <f t="shared" si="35"/>
        <v>-645</v>
      </c>
    </row>
    <row r="384" spans="1:11" x14ac:dyDescent="0.3">
      <c r="A384" s="25">
        <f t="shared" si="31"/>
        <v>2021</v>
      </c>
      <c r="B384" s="25" t="s">
        <v>11</v>
      </c>
      <c r="C384" s="25" t="str">
        <f t="shared" si="32"/>
        <v>Herbst</v>
      </c>
      <c r="D384" s="25">
        <f>INDEX(Wetter!B:M,MATCH(A384,Wetter!A:A,0),MATCH(B384,Wetter!B$1:M$1,0))</f>
        <v>1.1299999999999999</v>
      </c>
      <c r="E384" s="26">
        <v>4553</v>
      </c>
      <c r="F384" s="27">
        <v>5415</v>
      </c>
      <c r="G384" s="35">
        <f>_xlfn.XLOOKUP(A384,Bevölkerung!A:A,Bevölkerung!B:B)</f>
        <v>8738791</v>
      </c>
      <c r="H384" s="28">
        <f t="shared" si="33"/>
        <v>1613.8118190212374</v>
      </c>
      <c r="I384" s="24">
        <f t="shared" si="30"/>
        <v>286.96343402225756</v>
      </c>
      <c r="J384" s="32">
        <f t="shared" si="34"/>
        <v>0.84081255771006469</v>
      </c>
      <c r="K384" s="25">
        <f t="shared" si="35"/>
        <v>-862</v>
      </c>
    </row>
    <row r="385" spans="1:11" x14ac:dyDescent="0.3">
      <c r="A385" s="25">
        <f t="shared" si="31"/>
        <v>2021</v>
      </c>
      <c r="B385" s="25" t="s">
        <v>12</v>
      </c>
      <c r="C385" s="25" t="str">
        <f t="shared" si="32"/>
        <v>Winter</v>
      </c>
      <c r="D385" s="25">
        <f>INDEX(Wetter!B:M,MATCH(A385,Wetter!A:A,0),MATCH(B385,Wetter!B$1:M$1,0))</f>
        <v>-0.65</v>
      </c>
      <c r="E385" s="26">
        <v>5101</v>
      </c>
      <c r="F385" s="27">
        <v>5723</v>
      </c>
      <c r="G385" s="35">
        <f>_xlfn.XLOOKUP(A385,Bevölkerung!A:A,Bevölkerung!B:B)</f>
        <v>8738791</v>
      </c>
      <c r="H385" s="28">
        <f t="shared" si="33"/>
        <v>1526.9598112877861</v>
      </c>
      <c r="I385" s="24">
        <f t="shared" si="30"/>
        <v>277.14285714285717</v>
      </c>
      <c r="J385" s="32">
        <f t="shared" si="34"/>
        <v>0.89131574349117593</v>
      </c>
      <c r="K385" s="25">
        <f t="shared" si="35"/>
        <v>-622</v>
      </c>
    </row>
    <row r="386" spans="1:11" x14ac:dyDescent="0.3">
      <c r="A386" s="25">
        <f t="shared" si="31"/>
        <v>2022</v>
      </c>
      <c r="B386" s="25" t="s">
        <v>1</v>
      </c>
      <c r="C386" s="25" t="str">
        <f t="shared" si="32"/>
        <v>Winter</v>
      </c>
      <c r="D386" s="25">
        <f>INDEX(Wetter!B:M,MATCH(A386,Wetter!A:A,0),MATCH(B386,Wetter!B$1:M$1,0))</f>
        <v>-1.48</v>
      </c>
      <c r="E386" s="26">
        <v>5381</v>
      </c>
      <c r="F386" s="27">
        <v>5799</v>
      </c>
      <c r="G386" s="35">
        <f>_xlfn.XLOOKUP(A386,Bevölkerung!A:A,Bevölkerung!B:B)</f>
        <v>8815385</v>
      </c>
      <c r="H386" s="28">
        <f t="shared" si="33"/>
        <v>1520.1560613898948</v>
      </c>
      <c r="I386" s="24">
        <f t="shared" ref="I386:I434" si="36">F386/(20-D386)</f>
        <v>269.97206703910615</v>
      </c>
      <c r="J386" s="32">
        <f t="shared" si="34"/>
        <v>0.92791860665632009</v>
      </c>
      <c r="K386" s="25">
        <f t="shared" si="35"/>
        <v>-418</v>
      </c>
    </row>
    <row r="387" spans="1:11" x14ac:dyDescent="0.3">
      <c r="A387" s="25">
        <f t="shared" ref="A387:A434" si="37">1990+INT((ROW(A386)-1)/12)</f>
        <v>2022</v>
      </c>
      <c r="B387" s="25" t="s">
        <v>2</v>
      </c>
      <c r="C387" s="25" t="str">
        <f t="shared" ref="C387:C434" si="38">IF(OR(B387="dec",B387="jan",B387="feb"),"Winter",IF(OR(B387="mar",B387="apr",B387="may"),"Frühling",IF(OR(B387="jun",B387="jul",B387="aug"),"Sommer","Herbst")))</f>
        <v>Winter</v>
      </c>
      <c r="D387" s="25">
        <f>INDEX(Wetter!B:M,MATCH(A387,Wetter!A:A,0),MATCH(B387,Wetter!B$1:M$1,0))</f>
        <v>-0.13</v>
      </c>
      <c r="E387" s="26">
        <v>4551</v>
      </c>
      <c r="F387" s="27">
        <v>5143</v>
      </c>
      <c r="G387" s="35">
        <f>_xlfn.XLOOKUP(A387,Bevölkerung!A:A,Bevölkerung!B:B)</f>
        <v>8815385</v>
      </c>
      <c r="H387" s="28">
        <f t="shared" ref="H387:H405" si="39">G387/F387</f>
        <v>1714.0550262492709</v>
      </c>
      <c r="I387" s="24">
        <f t="shared" si="36"/>
        <v>255.48931942374566</v>
      </c>
      <c r="J387" s="32">
        <f t="shared" ref="J387:J434" si="40">E387/F387</f>
        <v>0.8848920863309353</v>
      </c>
      <c r="K387" s="25">
        <f t="shared" ref="K387:K434" si="41">E387-F387</f>
        <v>-592</v>
      </c>
    </row>
    <row r="388" spans="1:11" x14ac:dyDescent="0.3">
      <c r="A388" s="25">
        <f t="shared" si="37"/>
        <v>2022</v>
      </c>
      <c r="B388" s="25" t="s">
        <v>3</v>
      </c>
      <c r="C388" s="25" t="str">
        <f t="shared" si="38"/>
        <v>Frühling</v>
      </c>
      <c r="D388" s="25">
        <f>INDEX(Wetter!B:M,MATCH(A388,Wetter!A:A,0),MATCH(B388,Wetter!B$1:M$1,0))</f>
        <v>2.38</v>
      </c>
      <c r="E388" s="26">
        <v>4974</v>
      </c>
      <c r="F388" s="27">
        <v>5334</v>
      </c>
      <c r="G388" s="35">
        <f>_xlfn.XLOOKUP(A388,Bevölkerung!A:A,Bevölkerung!B:B)</f>
        <v>8815385</v>
      </c>
      <c r="H388" s="28">
        <f t="shared" si="39"/>
        <v>1652.6781027371578</v>
      </c>
      <c r="I388" s="24">
        <f t="shared" si="36"/>
        <v>302.72417707150964</v>
      </c>
      <c r="J388" s="32">
        <f t="shared" si="40"/>
        <v>0.93250843644544434</v>
      </c>
      <c r="K388" s="25">
        <f t="shared" si="41"/>
        <v>-360</v>
      </c>
    </row>
    <row r="389" spans="1:11" x14ac:dyDescent="0.3">
      <c r="A389" s="25">
        <f t="shared" si="37"/>
        <v>2022</v>
      </c>
      <c r="B389" s="25" t="s">
        <v>4</v>
      </c>
      <c r="C389" s="25" t="str">
        <f t="shared" si="38"/>
        <v>Frühling</v>
      </c>
      <c r="D389" s="25">
        <f>INDEX(Wetter!B:M,MATCH(A389,Wetter!A:A,0),MATCH(B389,Wetter!B$1:M$1,0))</f>
        <v>4.63</v>
      </c>
      <c r="E389" s="26">
        <v>5205</v>
      </c>
      <c r="F389" s="27">
        <v>4690</v>
      </c>
      <c r="G389" s="35">
        <f>_xlfn.XLOOKUP(A389,Bevölkerung!A:A,Bevölkerung!B:B)</f>
        <v>8815385</v>
      </c>
      <c r="H389" s="28">
        <f t="shared" si="39"/>
        <v>1879.6130063965884</v>
      </c>
      <c r="I389" s="24">
        <f t="shared" si="36"/>
        <v>305.1398828887443</v>
      </c>
      <c r="J389" s="32">
        <f t="shared" si="40"/>
        <v>1.1098081023454158</v>
      </c>
      <c r="K389" s="25">
        <f t="shared" si="41"/>
        <v>515</v>
      </c>
    </row>
    <row r="390" spans="1:11" x14ac:dyDescent="0.3">
      <c r="A390" s="25">
        <f t="shared" si="37"/>
        <v>2022</v>
      </c>
      <c r="B390" s="25" t="s">
        <v>5</v>
      </c>
      <c r="C390" s="25" t="str">
        <f t="shared" si="38"/>
        <v>Frühling</v>
      </c>
      <c r="D390" s="25">
        <f>INDEX(Wetter!B:M,MATCH(A390,Wetter!A:A,0),MATCH(B390,Wetter!B$1:M$1,0))</f>
        <v>11.51</v>
      </c>
      <c r="E390" s="26">
        <v>5907</v>
      </c>
      <c r="F390" s="27">
        <v>4550</v>
      </c>
      <c r="G390" s="35">
        <f>_xlfn.XLOOKUP(A390,Bevölkerung!A:A,Bevölkerung!B:B)</f>
        <v>8815385</v>
      </c>
      <c r="H390" s="28">
        <f t="shared" si="39"/>
        <v>1937.4472527472528</v>
      </c>
      <c r="I390" s="24">
        <f t="shared" si="36"/>
        <v>535.924617196702</v>
      </c>
      <c r="J390" s="32">
        <f t="shared" si="40"/>
        <v>1.2982417582417582</v>
      </c>
      <c r="K390" s="25">
        <f t="shared" si="41"/>
        <v>1357</v>
      </c>
    </row>
    <row r="391" spans="1:11" x14ac:dyDescent="0.3">
      <c r="A391" s="25">
        <f t="shared" si="37"/>
        <v>2022</v>
      </c>
      <c r="B391" s="25" t="s">
        <v>6</v>
      </c>
      <c r="C391" s="25" t="str">
        <f t="shared" si="38"/>
        <v>Sommer</v>
      </c>
      <c r="D391" s="25">
        <f>INDEX(Wetter!B:M,MATCH(A391,Wetter!A:A,0),MATCH(B391,Wetter!B$1:M$1,0))</f>
        <v>15.37</v>
      </c>
      <c r="E391" s="26">
        <v>5357</v>
      </c>
      <c r="F391" s="27">
        <v>4450</v>
      </c>
      <c r="G391" s="35">
        <f>_xlfn.XLOOKUP(A391,Bevölkerung!A:A,Bevölkerung!B:B)</f>
        <v>8815385</v>
      </c>
      <c r="H391" s="28">
        <f t="shared" si="39"/>
        <v>1980.9853932584269</v>
      </c>
      <c r="I391" s="24">
        <f t="shared" si="36"/>
        <v>961.12311015118769</v>
      </c>
      <c r="J391" s="32">
        <f t="shared" si="40"/>
        <v>1.2038202247191012</v>
      </c>
      <c r="K391" s="25">
        <f t="shared" si="41"/>
        <v>907</v>
      </c>
    </row>
    <row r="392" spans="1:11" x14ac:dyDescent="0.3">
      <c r="A392" s="25">
        <f t="shared" si="37"/>
        <v>2022</v>
      </c>
      <c r="B392" s="25" t="s">
        <v>7</v>
      </c>
      <c r="C392" s="25" t="str">
        <f t="shared" si="38"/>
        <v>Sommer</v>
      </c>
      <c r="D392" s="25">
        <f>INDEX(Wetter!B:M,MATCH(A392,Wetter!A:A,0),MATCH(B392,Wetter!B$1:M$1,0))</f>
        <v>16.97</v>
      </c>
      <c r="E392" s="26">
        <v>6315</v>
      </c>
      <c r="F392" s="27">
        <v>4432</v>
      </c>
      <c r="G392" s="35">
        <f>_xlfn.XLOOKUP(A392,Bevölkerung!A:A,Bevölkerung!B:B)</f>
        <v>8815385</v>
      </c>
      <c r="H392" s="28">
        <f t="shared" si="39"/>
        <v>1989.0309115523467</v>
      </c>
      <c r="I392" s="24">
        <f t="shared" si="36"/>
        <v>1462.7062706270622</v>
      </c>
      <c r="J392" s="32">
        <f t="shared" si="40"/>
        <v>1.4248646209386282</v>
      </c>
      <c r="K392" s="25">
        <f t="shared" si="41"/>
        <v>1883</v>
      </c>
    </row>
    <row r="393" spans="1:11" x14ac:dyDescent="0.3">
      <c r="A393" s="25">
        <f t="shared" si="37"/>
        <v>2022</v>
      </c>
      <c r="B393" s="25" t="s">
        <v>8</v>
      </c>
      <c r="C393" s="25" t="str">
        <f t="shared" si="38"/>
        <v>Sommer</v>
      </c>
      <c r="D393" s="25">
        <f>INDEX(Wetter!B:M,MATCH(A393,Wetter!A:A,0),MATCH(B393,Wetter!B$1:M$1,0))</f>
        <v>16.149999999999999</v>
      </c>
      <c r="E393" s="26">
        <v>5990</v>
      </c>
      <c r="F393" s="27">
        <v>4381</v>
      </c>
      <c r="G393" s="35">
        <f>_xlfn.XLOOKUP(A393,Bevölkerung!A:A,Bevölkerung!B:B)</f>
        <v>8815385</v>
      </c>
      <c r="H393" s="28">
        <f t="shared" si="39"/>
        <v>2012.185574069847</v>
      </c>
      <c r="I393" s="24">
        <f t="shared" si="36"/>
        <v>1137.9220779220775</v>
      </c>
      <c r="J393" s="32">
        <f t="shared" si="40"/>
        <v>1.3672677470897054</v>
      </c>
      <c r="K393" s="25">
        <f t="shared" si="41"/>
        <v>1609</v>
      </c>
    </row>
    <row r="394" spans="1:11" x14ac:dyDescent="0.3">
      <c r="A394" s="25">
        <f t="shared" si="37"/>
        <v>2022</v>
      </c>
      <c r="B394" s="25" t="s">
        <v>9</v>
      </c>
      <c r="C394" s="25" t="str">
        <f t="shared" si="38"/>
        <v>Herbst</v>
      </c>
      <c r="D394" s="25">
        <f>INDEX(Wetter!B:M,MATCH(A394,Wetter!A:A,0),MATCH(B394,Wetter!B$1:M$1,0))</f>
        <v>10.09</v>
      </c>
      <c r="E394" s="26">
        <v>5437</v>
      </c>
      <c r="F394" s="27">
        <v>4417</v>
      </c>
      <c r="G394" s="35">
        <f>_xlfn.XLOOKUP(A394,Bevölkerung!A:A,Bevölkerung!B:B)</f>
        <v>8815385</v>
      </c>
      <c r="H394" s="28">
        <f t="shared" si="39"/>
        <v>1995.7856010867104</v>
      </c>
      <c r="I394" s="24">
        <f t="shared" si="36"/>
        <v>445.71140262361251</v>
      </c>
      <c r="J394" s="32">
        <f t="shared" si="40"/>
        <v>1.230925967851483</v>
      </c>
      <c r="K394" s="25">
        <f t="shared" si="41"/>
        <v>1020</v>
      </c>
    </row>
    <row r="395" spans="1:11" x14ac:dyDescent="0.3">
      <c r="A395" s="25">
        <f t="shared" si="37"/>
        <v>2022</v>
      </c>
      <c r="B395" s="25" t="s">
        <v>10</v>
      </c>
      <c r="C395" s="25" t="str">
        <f t="shared" si="38"/>
        <v>Herbst</v>
      </c>
      <c r="D395" s="25">
        <f>INDEX(Wetter!B:M,MATCH(A395,Wetter!A:A,0),MATCH(B395,Wetter!B$1:M$1,0))</f>
        <v>10.45</v>
      </c>
      <c r="E395" s="26">
        <v>5389</v>
      </c>
      <c r="F395" s="27">
        <v>4471</v>
      </c>
      <c r="G395" s="35">
        <f>_xlfn.XLOOKUP(A395,Bevölkerung!A:A,Bevölkerung!B:B)</f>
        <v>8815385</v>
      </c>
      <c r="H395" s="28">
        <f t="shared" si="39"/>
        <v>1971.6808320286289</v>
      </c>
      <c r="I395" s="24">
        <f t="shared" si="36"/>
        <v>468.16753926701568</v>
      </c>
      <c r="J395" s="32">
        <f t="shared" si="40"/>
        <v>1.2053231939163498</v>
      </c>
      <c r="K395" s="25">
        <f t="shared" si="41"/>
        <v>918</v>
      </c>
    </row>
    <row r="396" spans="1:11" x14ac:dyDescent="0.3">
      <c r="A396" s="25">
        <f t="shared" si="37"/>
        <v>2022</v>
      </c>
      <c r="B396" s="25" t="s">
        <v>11</v>
      </c>
      <c r="C396" s="25" t="str">
        <f t="shared" si="38"/>
        <v>Herbst</v>
      </c>
      <c r="D396" s="25">
        <f>INDEX(Wetter!B:M,MATCH(A396,Wetter!A:A,0),MATCH(B396,Wetter!B$1:M$1,0))</f>
        <v>3.33</v>
      </c>
      <c r="E396" s="26">
        <v>4760</v>
      </c>
      <c r="F396" s="27">
        <v>4894</v>
      </c>
      <c r="G396" s="35">
        <f>_xlfn.XLOOKUP(A396,Bevölkerung!A:A,Bevölkerung!B:B)</f>
        <v>8815385</v>
      </c>
      <c r="H396" s="28">
        <f t="shared" si="39"/>
        <v>1801.2637923988557</v>
      </c>
      <c r="I396" s="24">
        <f t="shared" si="36"/>
        <v>293.58128374325133</v>
      </c>
      <c r="J396" s="32">
        <f t="shared" si="40"/>
        <v>0.9726195341234164</v>
      </c>
      <c r="K396" s="25">
        <f t="shared" si="41"/>
        <v>-134</v>
      </c>
    </row>
    <row r="397" spans="1:11" x14ac:dyDescent="0.3">
      <c r="A397" s="25">
        <f t="shared" si="37"/>
        <v>2022</v>
      </c>
      <c r="B397" s="25" t="s">
        <v>12</v>
      </c>
      <c r="C397" s="25" t="str">
        <f t="shared" si="38"/>
        <v>Winter</v>
      </c>
      <c r="D397" s="25">
        <f>INDEX(Wetter!B:M,MATCH(A397,Wetter!A:A,0),MATCH(B397,Wetter!B$1:M$1,0))</f>
        <v>-0.28000000000000003</v>
      </c>
      <c r="E397" s="26">
        <v>5254</v>
      </c>
      <c r="F397" s="27">
        <v>5415</v>
      </c>
      <c r="G397" s="35">
        <f>_xlfn.XLOOKUP(A397,Bevölkerung!A:A,Bevölkerung!B:B)</f>
        <v>8815385</v>
      </c>
      <c r="H397" s="28">
        <f t="shared" si="39"/>
        <v>1627.9566020313944</v>
      </c>
      <c r="I397" s="24">
        <f t="shared" si="36"/>
        <v>267.0118343195266</v>
      </c>
      <c r="J397" s="32">
        <f t="shared" si="40"/>
        <v>0.97026777469990766</v>
      </c>
      <c r="K397" s="25">
        <f t="shared" si="41"/>
        <v>-161</v>
      </c>
    </row>
    <row r="398" spans="1:11" x14ac:dyDescent="0.3">
      <c r="A398" s="25">
        <f t="shared" si="37"/>
        <v>2023</v>
      </c>
      <c r="B398" s="25" t="s">
        <v>1</v>
      </c>
      <c r="C398" s="25" t="str">
        <f t="shared" si="38"/>
        <v>Winter</v>
      </c>
      <c r="D398" s="25">
        <f>INDEX(Wetter!B:M,MATCH(A398,Wetter!A:A,0),MATCH(B398,Wetter!B$1:M$1,0))</f>
        <v>-1.61</v>
      </c>
      <c r="E398" s="26">
        <v>5709</v>
      </c>
      <c r="F398" s="27">
        <v>5523</v>
      </c>
      <c r="G398" s="35">
        <f>_xlfn.XLOOKUP(A398,Bevölkerung!A:A,Bevölkerung!B:B)</f>
        <v>8962258</v>
      </c>
      <c r="H398" s="28">
        <f t="shared" si="39"/>
        <v>1622.7155531414087</v>
      </c>
      <c r="I398" s="24">
        <f t="shared" si="36"/>
        <v>255.57612216566406</v>
      </c>
      <c r="J398" s="32">
        <f t="shared" si="40"/>
        <v>1.0336773492667028</v>
      </c>
      <c r="K398" s="25">
        <f t="shared" si="41"/>
        <v>186</v>
      </c>
    </row>
    <row r="399" spans="1:11" x14ac:dyDescent="0.3">
      <c r="A399" s="25">
        <f t="shared" si="37"/>
        <v>2023</v>
      </c>
      <c r="B399" s="25" t="s">
        <v>2</v>
      </c>
      <c r="C399" s="25" t="str">
        <f t="shared" si="38"/>
        <v>Winter</v>
      </c>
      <c r="D399" s="25">
        <f>INDEX(Wetter!B:M,MATCH(A399,Wetter!A:A,0),MATCH(B399,Wetter!B$1:M$1,0))</f>
        <v>0.08</v>
      </c>
      <c r="E399" s="26">
        <v>4983</v>
      </c>
      <c r="F399" s="27">
        <v>4951</v>
      </c>
      <c r="G399" s="35">
        <f>_xlfn.XLOOKUP(A399,Bevölkerung!A:A,Bevölkerung!B:B)</f>
        <v>8962258</v>
      </c>
      <c r="H399" s="28">
        <f t="shared" si="39"/>
        <v>1810.1914764694002</v>
      </c>
      <c r="I399" s="24">
        <f t="shared" si="36"/>
        <v>248.5441767068273</v>
      </c>
      <c r="J399" s="32">
        <f t="shared" si="40"/>
        <v>1.0064633407392447</v>
      </c>
      <c r="K399" s="25">
        <f t="shared" si="41"/>
        <v>32</v>
      </c>
    </row>
    <row r="400" spans="1:11" x14ac:dyDescent="0.3">
      <c r="A400" s="25">
        <f t="shared" si="37"/>
        <v>2023</v>
      </c>
      <c r="B400" s="25" t="s">
        <v>3</v>
      </c>
      <c r="C400" s="25" t="str">
        <f t="shared" si="38"/>
        <v>Frühling</v>
      </c>
      <c r="D400" s="25">
        <f>INDEX(Wetter!B:M,MATCH(A400,Wetter!A:A,0),MATCH(B400,Wetter!B$1:M$1,0))</f>
        <v>2.66</v>
      </c>
      <c r="E400" s="26">
        <v>5610</v>
      </c>
      <c r="F400" s="27">
        <v>5150</v>
      </c>
      <c r="G400" s="35">
        <f>_xlfn.XLOOKUP(A400,Bevölkerung!A:A,Bevölkerung!B:B)</f>
        <v>8962258</v>
      </c>
      <c r="H400" s="28">
        <f t="shared" si="39"/>
        <v>1740.2442718446603</v>
      </c>
      <c r="I400" s="24">
        <f t="shared" si="36"/>
        <v>297.00115340253751</v>
      </c>
      <c r="J400" s="32">
        <f t="shared" si="40"/>
        <v>1.0893203883495146</v>
      </c>
      <c r="K400" s="25">
        <f t="shared" si="41"/>
        <v>460</v>
      </c>
    </row>
    <row r="401" spans="1:11" x14ac:dyDescent="0.3">
      <c r="A401" s="25">
        <f t="shared" si="37"/>
        <v>2023</v>
      </c>
      <c r="B401" s="25" t="s">
        <v>4</v>
      </c>
      <c r="C401" s="25" t="str">
        <f t="shared" si="38"/>
        <v>Frühling</v>
      </c>
      <c r="D401" s="25">
        <f>INDEX(Wetter!B:M,MATCH(A401,Wetter!A:A,0),MATCH(B401,Wetter!B$1:M$1,0))</f>
        <v>3.71</v>
      </c>
      <c r="E401" s="26">
        <v>5276</v>
      </c>
      <c r="F401" s="27">
        <v>4563</v>
      </c>
      <c r="G401" s="35">
        <f>_xlfn.XLOOKUP(A401,Bevölkerung!A:A,Bevölkerung!B:B)</f>
        <v>8962258</v>
      </c>
      <c r="H401" s="28">
        <f t="shared" si="39"/>
        <v>1964.1152750383519</v>
      </c>
      <c r="I401" s="24">
        <f t="shared" si="36"/>
        <v>280.11049723756906</v>
      </c>
      <c r="J401" s="32">
        <f t="shared" si="40"/>
        <v>1.1562568485645408</v>
      </c>
      <c r="K401" s="25">
        <f t="shared" si="41"/>
        <v>713</v>
      </c>
    </row>
    <row r="402" spans="1:11" x14ac:dyDescent="0.3">
      <c r="A402" s="25">
        <f t="shared" si="37"/>
        <v>2023</v>
      </c>
      <c r="B402" s="25" t="s">
        <v>5</v>
      </c>
      <c r="C402" s="25" t="str">
        <f t="shared" si="38"/>
        <v>Frühling</v>
      </c>
      <c r="D402" s="25">
        <f>INDEX(Wetter!B:M,MATCH(A402,Wetter!A:A,0),MATCH(B402,Wetter!B$1:M$1,0))</f>
        <v>9.36</v>
      </c>
      <c r="E402" s="26">
        <v>5726</v>
      </c>
      <c r="F402" s="27">
        <v>4381</v>
      </c>
      <c r="G402" s="35">
        <f>_xlfn.XLOOKUP(A402,Bevölkerung!A:A,Bevölkerung!B:B)</f>
        <v>8962258</v>
      </c>
      <c r="H402" s="28">
        <f t="shared" si="39"/>
        <v>2045.7105683633874</v>
      </c>
      <c r="I402" s="24">
        <f t="shared" si="36"/>
        <v>411.74812030075185</v>
      </c>
      <c r="J402" s="32">
        <f t="shared" si="40"/>
        <v>1.3070075325268204</v>
      </c>
      <c r="K402" s="25">
        <f t="shared" si="41"/>
        <v>1345</v>
      </c>
    </row>
    <row r="403" spans="1:11" x14ac:dyDescent="0.3">
      <c r="A403" s="25">
        <f t="shared" si="37"/>
        <v>2023</v>
      </c>
      <c r="B403" s="25" t="s">
        <v>6</v>
      </c>
      <c r="C403" s="25" t="str">
        <f t="shared" si="38"/>
        <v>Sommer</v>
      </c>
      <c r="D403" s="25">
        <f>INDEX(Wetter!B:M,MATCH(A403,Wetter!A:A,0),MATCH(B403,Wetter!B$1:M$1,0))</f>
        <v>14.94</v>
      </c>
      <c r="E403" s="26">
        <v>6575</v>
      </c>
      <c r="F403" s="27">
        <v>4343</v>
      </c>
      <c r="G403" s="35">
        <f>_xlfn.XLOOKUP(A403,Bevölkerung!A:A,Bevölkerung!B:B)</f>
        <v>8962258</v>
      </c>
      <c r="H403" s="28">
        <f t="shared" si="39"/>
        <v>2063.6099470412159</v>
      </c>
      <c r="I403" s="24">
        <f t="shared" si="36"/>
        <v>858.30039525691689</v>
      </c>
      <c r="J403" s="32">
        <f t="shared" si="40"/>
        <v>1.5139304628137233</v>
      </c>
      <c r="K403" s="25">
        <f t="shared" si="41"/>
        <v>2232</v>
      </c>
    </row>
    <row r="404" spans="1:11" x14ac:dyDescent="0.3">
      <c r="A404" s="25">
        <f t="shared" si="37"/>
        <v>2023</v>
      </c>
      <c r="B404" s="25" t="s">
        <v>7</v>
      </c>
      <c r="C404" s="25" t="str">
        <f t="shared" si="38"/>
        <v>Sommer</v>
      </c>
      <c r="D404" s="25">
        <f>INDEX(Wetter!B:M,MATCH(A404,Wetter!A:A,0),MATCH(B404,Wetter!B$1:M$1,0))</f>
        <v>15.98</v>
      </c>
      <c r="E404" s="26">
        <v>7173</v>
      </c>
      <c r="F404" s="27">
        <v>4228</v>
      </c>
      <c r="G404" s="35">
        <f>_xlfn.XLOOKUP(A404,Bevölkerung!A:A,Bevölkerung!B:B)</f>
        <v>8962258</v>
      </c>
      <c r="H404" s="28">
        <f t="shared" si="39"/>
        <v>2119.7393566698202</v>
      </c>
      <c r="I404" s="24">
        <f t="shared" si="36"/>
        <v>1051.7412935323384</v>
      </c>
      <c r="J404" s="32">
        <f t="shared" si="40"/>
        <v>1.6965468306527909</v>
      </c>
      <c r="K404" s="25">
        <f t="shared" si="41"/>
        <v>2945</v>
      </c>
    </row>
    <row r="405" spans="1:11" x14ac:dyDescent="0.3">
      <c r="A405" s="25">
        <f t="shared" si="37"/>
        <v>2023</v>
      </c>
      <c r="B405" s="25" t="s">
        <v>8</v>
      </c>
      <c r="C405" s="25" t="str">
        <f t="shared" si="38"/>
        <v>Sommer</v>
      </c>
      <c r="D405" s="25">
        <f>INDEX(Wetter!B:M,MATCH(A405,Wetter!A:A,0),MATCH(B405,Wetter!B$1:M$1,0))</f>
        <v>15.58</v>
      </c>
      <c r="E405" s="26">
        <v>6811</v>
      </c>
      <c r="F405" s="27">
        <v>4344</v>
      </c>
      <c r="G405" s="35">
        <f>_xlfn.XLOOKUP(A405,Bevölkerung!A:A,Bevölkerung!B:B)</f>
        <v>8962258</v>
      </c>
      <c r="H405" s="28">
        <f t="shared" si="39"/>
        <v>2063.1348987108654</v>
      </c>
      <c r="I405" s="24">
        <f t="shared" si="36"/>
        <v>982.80542986425337</v>
      </c>
      <c r="J405" s="32">
        <f t="shared" si="40"/>
        <v>1.5679097605893186</v>
      </c>
      <c r="K405" s="25">
        <f t="shared" si="41"/>
        <v>2467</v>
      </c>
    </row>
    <row r="406" spans="1:11" x14ac:dyDescent="0.3">
      <c r="A406" s="25">
        <f t="shared" si="37"/>
        <v>2023</v>
      </c>
      <c r="B406" s="25" t="s">
        <v>9</v>
      </c>
      <c r="C406" s="25" t="str">
        <f t="shared" si="38"/>
        <v>Herbst</v>
      </c>
      <c r="D406" s="25">
        <f>INDEX(Wetter!B:M,MATCH(A406,Wetter!A:A,0),MATCH(B406,Wetter!B$1:M$1,0))</f>
        <v>14.3</v>
      </c>
      <c r="E406" s="26">
        <v>6655</v>
      </c>
      <c r="F406" s="27">
        <v>4292</v>
      </c>
      <c r="G406" s="35">
        <f>_xlfn.XLOOKUP(A406,Bevölkerung!A:A,Bevölkerung!B:B)</f>
        <v>8962258</v>
      </c>
      <c r="H406" s="28">
        <f t="shared" ref="H406:H434" si="42">G406/F406</f>
        <v>2088.1309412861137</v>
      </c>
      <c r="I406" s="24">
        <f t="shared" si="36"/>
        <v>752.98245614035102</v>
      </c>
      <c r="J406" s="32">
        <f t="shared" si="40"/>
        <v>1.5505591798695246</v>
      </c>
      <c r="K406" s="25">
        <f t="shared" si="41"/>
        <v>2363</v>
      </c>
    </row>
    <row r="407" spans="1:11" x14ac:dyDescent="0.3">
      <c r="A407" s="25">
        <f t="shared" si="37"/>
        <v>2023</v>
      </c>
      <c r="B407" s="25" t="s">
        <v>10</v>
      </c>
      <c r="C407" s="25" t="str">
        <f t="shared" si="38"/>
        <v>Herbst</v>
      </c>
      <c r="D407" s="25">
        <f>INDEX(Wetter!B:M,MATCH(A407,Wetter!A:A,0),MATCH(B407,Wetter!B$1:M$1,0))</f>
        <v>9.7100000000000009</v>
      </c>
      <c r="E407" s="26">
        <v>6030</v>
      </c>
      <c r="F407" s="27">
        <v>4561</v>
      </c>
      <c r="G407" s="35">
        <f>_xlfn.XLOOKUP(A407,Bevölkerung!A:A,Bevölkerung!B:B)</f>
        <v>8962258</v>
      </c>
      <c r="H407" s="28">
        <f t="shared" si="42"/>
        <v>1964.9765402324051</v>
      </c>
      <c r="I407" s="24">
        <f t="shared" si="36"/>
        <v>443.24586977648204</v>
      </c>
      <c r="J407" s="32">
        <f t="shared" si="40"/>
        <v>1.3220784915588686</v>
      </c>
      <c r="K407" s="25">
        <f t="shared" si="41"/>
        <v>1469</v>
      </c>
    </row>
    <row r="408" spans="1:11" x14ac:dyDescent="0.3">
      <c r="A408" s="25">
        <f t="shared" si="37"/>
        <v>2023</v>
      </c>
      <c r="B408" s="25" t="s">
        <v>11</v>
      </c>
      <c r="C408" s="25" t="str">
        <f t="shared" si="38"/>
        <v>Herbst</v>
      </c>
      <c r="D408" s="25">
        <f>INDEX(Wetter!B:M,MATCH(A408,Wetter!A:A,0),MATCH(B408,Wetter!B$1:M$1,0))</f>
        <v>1.59</v>
      </c>
      <c r="E408" s="26">
        <v>6314</v>
      </c>
      <c r="F408" s="27">
        <v>5076</v>
      </c>
      <c r="G408" s="35">
        <f>_xlfn.XLOOKUP(A408,Bevölkerung!A:A,Bevölkerung!B:B)</f>
        <v>8962258</v>
      </c>
      <c r="H408" s="28">
        <f t="shared" si="42"/>
        <v>1765.6142631993696</v>
      </c>
      <c r="I408" s="24">
        <f t="shared" si="36"/>
        <v>275.71971754481262</v>
      </c>
      <c r="J408" s="32">
        <f t="shared" si="40"/>
        <v>1.2438928289992119</v>
      </c>
      <c r="K408" s="25">
        <f t="shared" si="41"/>
        <v>1238</v>
      </c>
    </row>
    <row r="409" spans="1:11" x14ac:dyDescent="0.3">
      <c r="A409" s="25">
        <f t="shared" si="37"/>
        <v>2023</v>
      </c>
      <c r="B409" s="25" t="s">
        <v>12</v>
      </c>
      <c r="C409" s="25" t="str">
        <f t="shared" si="38"/>
        <v>Winter</v>
      </c>
      <c r="D409" s="25">
        <f>INDEX(Wetter!B:M,MATCH(A409,Wetter!A:A,0),MATCH(B409,Wetter!B$1:M$1,0))</f>
        <v>0.65</v>
      </c>
      <c r="E409" s="26">
        <v>5882</v>
      </c>
      <c r="F409" s="27">
        <v>5298</v>
      </c>
      <c r="G409" s="35">
        <f>_xlfn.XLOOKUP(A409,Bevölkerung!A:A,Bevölkerung!B:B)</f>
        <v>8962258</v>
      </c>
      <c r="H409" s="28">
        <f t="shared" si="42"/>
        <v>1691.6304265760664</v>
      </c>
      <c r="I409" s="24">
        <f t="shared" si="36"/>
        <v>273.79844961240309</v>
      </c>
      <c r="J409" s="32">
        <f t="shared" si="40"/>
        <v>1.110230275575689</v>
      </c>
      <c r="K409" s="25">
        <f t="shared" si="41"/>
        <v>584</v>
      </c>
    </row>
    <row r="410" spans="1:11" x14ac:dyDescent="0.3">
      <c r="A410" s="25">
        <f t="shared" si="37"/>
        <v>2024</v>
      </c>
      <c r="B410" s="25" t="s">
        <v>1</v>
      </c>
      <c r="C410" s="25" t="str">
        <f t="shared" si="38"/>
        <v>Winter</v>
      </c>
      <c r="D410" s="25">
        <f>INDEX(Wetter!B:M,MATCH(A410,Wetter!A:A,0),MATCH(B410,Wetter!B$1:M$1,0))</f>
        <v>-0.64</v>
      </c>
      <c r="E410" s="26">
        <v>6554</v>
      </c>
      <c r="F410" s="27">
        <v>5608</v>
      </c>
      <c r="G410" s="35">
        <f>_xlfn.XLOOKUP(A410,Bevölkerung!A:A,Bevölkerung!B:B)</f>
        <v>9051029</v>
      </c>
      <c r="H410" s="28">
        <f t="shared" si="42"/>
        <v>1613.9495363766048</v>
      </c>
      <c r="I410" s="24">
        <f t="shared" si="36"/>
        <v>271.70542635658916</v>
      </c>
      <c r="J410" s="32">
        <f t="shared" si="40"/>
        <v>1.1686875891583453</v>
      </c>
      <c r="K410" s="25">
        <f t="shared" si="41"/>
        <v>946</v>
      </c>
    </row>
    <row r="411" spans="1:11" x14ac:dyDescent="0.3">
      <c r="A411" s="25">
        <f t="shared" si="37"/>
        <v>2024</v>
      </c>
      <c r="B411" s="25" t="s">
        <v>2</v>
      </c>
      <c r="C411" s="25" t="str">
        <f t="shared" si="38"/>
        <v>Winter</v>
      </c>
      <c r="D411" s="25">
        <f>INDEX(Wetter!B:M,MATCH(A411,Wetter!A:A,0),MATCH(B411,Wetter!B$1:M$1,0))</f>
        <v>2.7</v>
      </c>
      <c r="E411" s="26">
        <v>5810</v>
      </c>
      <c r="F411" s="27">
        <v>4949</v>
      </c>
      <c r="G411" s="35">
        <f>_xlfn.XLOOKUP(A411,Bevölkerung!A:A,Bevölkerung!B:B)</f>
        <v>9051029</v>
      </c>
      <c r="H411" s="28">
        <f t="shared" si="42"/>
        <v>1828.8601737724794</v>
      </c>
      <c r="I411" s="24">
        <f t="shared" si="36"/>
        <v>286.06936416184971</v>
      </c>
      <c r="J411" s="32">
        <f t="shared" si="40"/>
        <v>1.1739745403111739</v>
      </c>
      <c r="K411" s="25">
        <f t="shared" si="41"/>
        <v>861</v>
      </c>
    </row>
    <row r="412" spans="1:11" x14ac:dyDescent="0.3">
      <c r="A412" s="25">
        <f t="shared" si="37"/>
        <v>2024</v>
      </c>
      <c r="B412" s="25" t="s">
        <v>3</v>
      </c>
      <c r="C412" s="25" t="str">
        <f t="shared" si="38"/>
        <v>Frühling</v>
      </c>
      <c r="D412" s="25">
        <f>INDEX(Wetter!B:M,MATCH(A412,Wetter!A:A,0),MATCH(B412,Wetter!B$1:M$1,0))</f>
        <v>3.29</v>
      </c>
      <c r="E412" s="26">
        <v>6345</v>
      </c>
      <c r="F412" s="27">
        <v>5041</v>
      </c>
      <c r="G412" s="35">
        <f>_xlfn.XLOOKUP(A412,Bevölkerung!A:A,Bevölkerung!B:B)</f>
        <v>9051029</v>
      </c>
      <c r="H412" s="28">
        <f t="shared" si="42"/>
        <v>1795.4828407062091</v>
      </c>
      <c r="I412" s="24">
        <f t="shared" si="36"/>
        <v>301.67564332734889</v>
      </c>
      <c r="J412" s="32">
        <f t="shared" si="40"/>
        <v>1.258678833564769</v>
      </c>
      <c r="K412" s="25">
        <f t="shared" si="41"/>
        <v>1304</v>
      </c>
    </row>
    <row r="413" spans="1:11" x14ac:dyDescent="0.3">
      <c r="A413" s="25">
        <f t="shared" si="37"/>
        <v>2024</v>
      </c>
      <c r="B413" s="25" t="s">
        <v>4</v>
      </c>
      <c r="C413" s="25" t="str">
        <f t="shared" si="38"/>
        <v>Frühling</v>
      </c>
      <c r="D413" s="25">
        <f>INDEX(Wetter!B:M,MATCH(A413,Wetter!A:A,0),MATCH(B413,Wetter!B$1:M$1,0))</f>
        <v>5.19</v>
      </c>
      <c r="E413" s="26">
        <v>6354</v>
      </c>
      <c r="F413" s="27">
        <v>4621</v>
      </c>
      <c r="G413" s="35">
        <f>_xlfn.XLOOKUP(A413,Bevölkerung!A:A,Bevölkerung!B:B)</f>
        <v>9051029</v>
      </c>
      <c r="H413" s="28">
        <f t="shared" si="42"/>
        <v>1958.6732309024021</v>
      </c>
      <c r="I413" s="24">
        <f t="shared" si="36"/>
        <v>312.01890614449701</v>
      </c>
      <c r="J413" s="32">
        <f t="shared" si="40"/>
        <v>1.3750270504219866</v>
      </c>
      <c r="K413" s="25">
        <f t="shared" si="41"/>
        <v>1733</v>
      </c>
    </row>
    <row r="414" spans="1:11" x14ac:dyDescent="0.3">
      <c r="A414" s="25">
        <f t="shared" si="37"/>
        <v>2024</v>
      </c>
      <c r="B414" s="25" t="s">
        <v>5</v>
      </c>
      <c r="C414" s="25" t="str">
        <f t="shared" si="38"/>
        <v>Frühling</v>
      </c>
      <c r="D414" s="25">
        <f>INDEX(Wetter!B:M,MATCH(A414,Wetter!A:A,0),MATCH(B414,Wetter!B$1:M$1,0))</f>
        <v>8.84</v>
      </c>
      <c r="E414" s="26">
        <v>6254</v>
      </c>
      <c r="F414" s="27">
        <v>4474</v>
      </c>
      <c r="G414" s="35">
        <f>_xlfn.XLOOKUP(A414,Bevölkerung!A:A,Bevölkerung!B:B)</f>
        <v>9051029</v>
      </c>
      <c r="H414" s="28">
        <f t="shared" si="42"/>
        <v>2023.02838623156</v>
      </c>
      <c r="I414" s="24">
        <f t="shared" si="36"/>
        <v>400.89605734767025</v>
      </c>
      <c r="J414" s="32">
        <f t="shared" si="40"/>
        <v>1.3978542691104157</v>
      </c>
      <c r="K414" s="25">
        <f t="shared" si="41"/>
        <v>1780</v>
      </c>
    </row>
    <row r="415" spans="1:11" x14ac:dyDescent="0.3">
      <c r="A415" s="25">
        <f t="shared" si="37"/>
        <v>2024</v>
      </c>
      <c r="B415" s="25" t="s">
        <v>6</v>
      </c>
      <c r="C415" s="25" t="str">
        <f t="shared" si="38"/>
        <v>Sommer</v>
      </c>
      <c r="D415" s="25">
        <f>INDEX(Wetter!B:M,MATCH(A415,Wetter!A:A,0),MATCH(B415,Wetter!B$1:M$1,0))</f>
        <v>13.08</v>
      </c>
      <c r="E415" s="26">
        <v>7235</v>
      </c>
      <c r="F415" s="27">
        <v>4344</v>
      </c>
      <c r="G415" s="35">
        <f>_xlfn.XLOOKUP(A415,Bevölkerung!A:A,Bevölkerung!B:B)</f>
        <v>9051029</v>
      </c>
      <c r="H415" s="28">
        <f t="shared" si="42"/>
        <v>2083.5702117863721</v>
      </c>
      <c r="I415" s="24">
        <f t="shared" si="36"/>
        <v>627.74566473988443</v>
      </c>
      <c r="J415" s="32">
        <f t="shared" si="40"/>
        <v>1.6655156537753222</v>
      </c>
      <c r="K415" s="25">
        <f t="shared" si="41"/>
        <v>2891</v>
      </c>
    </row>
    <row r="416" spans="1:11" x14ac:dyDescent="0.3">
      <c r="A416" s="25">
        <f t="shared" si="37"/>
        <v>2024</v>
      </c>
      <c r="B416" s="25" t="s">
        <v>7</v>
      </c>
      <c r="C416" s="25" t="str">
        <f t="shared" si="38"/>
        <v>Sommer</v>
      </c>
      <c r="D416" s="25">
        <f>INDEX(Wetter!B:M,MATCH(A416,Wetter!A:A,0),MATCH(B416,Wetter!B$1:M$1,0))</f>
        <v>16.079999999999998</v>
      </c>
      <c r="E416" s="26">
        <v>9323</v>
      </c>
      <c r="F416" s="27">
        <v>4384</v>
      </c>
      <c r="G416" s="35">
        <f>_xlfn.XLOOKUP(A416,Bevölkerung!A:A,Bevölkerung!B:B)</f>
        <v>9051029</v>
      </c>
      <c r="H416" s="28">
        <f t="shared" si="42"/>
        <v>2064.5595346715327</v>
      </c>
      <c r="I416" s="24">
        <f t="shared" si="36"/>
        <v>1118.367346938775</v>
      </c>
      <c r="J416" s="32">
        <f t="shared" si="40"/>
        <v>2.1265967153284673</v>
      </c>
      <c r="K416" s="25">
        <f t="shared" si="41"/>
        <v>4939</v>
      </c>
    </row>
    <row r="417" spans="1:11" x14ac:dyDescent="0.3">
      <c r="A417" s="25">
        <f t="shared" si="37"/>
        <v>2024</v>
      </c>
      <c r="B417" s="25" t="s">
        <v>8</v>
      </c>
      <c r="C417" s="25" t="str">
        <f t="shared" si="38"/>
        <v>Sommer</v>
      </c>
      <c r="D417" s="25">
        <f>INDEX(Wetter!B:M,MATCH(A417,Wetter!A:A,0),MATCH(B417,Wetter!B$1:M$1,0))</f>
        <v>17.07</v>
      </c>
      <c r="E417" s="26">
        <v>8123</v>
      </c>
      <c r="F417" s="27">
        <v>4382</v>
      </c>
      <c r="G417" s="35">
        <f>_xlfn.XLOOKUP(A417,Bevölkerung!A:A,Bevölkerung!B:B)</f>
        <v>9051029</v>
      </c>
      <c r="H417" s="28">
        <f t="shared" si="42"/>
        <v>2065.5018256503881</v>
      </c>
      <c r="I417" s="24">
        <f t="shared" si="36"/>
        <v>1495.5631399317408</v>
      </c>
      <c r="J417" s="32">
        <f t="shared" si="40"/>
        <v>1.8537197626654496</v>
      </c>
      <c r="K417" s="25">
        <f t="shared" si="41"/>
        <v>3741</v>
      </c>
    </row>
    <row r="418" spans="1:11" x14ac:dyDescent="0.3">
      <c r="A418" s="25">
        <f t="shared" si="37"/>
        <v>2024</v>
      </c>
      <c r="B418" s="25" t="s">
        <v>9</v>
      </c>
      <c r="C418" s="25" t="str">
        <f t="shared" si="38"/>
        <v>Herbst</v>
      </c>
      <c r="D418" s="25">
        <f>INDEX(Wetter!B:M,MATCH(A418,Wetter!A:A,0),MATCH(B418,Wetter!B$1:M$1,0))</f>
        <v>9.99</v>
      </c>
      <c r="E418" s="26">
        <v>6422</v>
      </c>
      <c r="F418" s="27">
        <v>4368</v>
      </c>
      <c r="G418" s="35">
        <f>_xlfn.XLOOKUP(A418,Bevölkerung!A:A,Bevölkerung!B:B)</f>
        <v>9051029</v>
      </c>
      <c r="H418" s="28">
        <f t="shared" si="42"/>
        <v>2072.1220238095239</v>
      </c>
      <c r="I418" s="24">
        <f t="shared" si="36"/>
        <v>436.36363636363637</v>
      </c>
      <c r="J418" s="32">
        <f t="shared" si="40"/>
        <v>1.4702380952380953</v>
      </c>
      <c r="K418" s="25">
        <f t="shared" si="41"/>
        <v>2054</v>
      </c>
    </row>
    <row r="419" spans="1:11" x14ac:dyDescent="0.3">
      <c r="A419" s="25">
        <f t="shared" si="37"/>
        <v>2024</v>
      </c>
      <c r="B419" s="25" t="s">
        <v>10</v>
      </c>
      <c r="C419" s="25" t="str">
        <f t="shared" si="38"/>
        <v>Herbst</v>
      </c>
      <c r="D419" s="25">
        <f>INDEX(Wetter!B:M,MATCH(A419,Wetter!A:A,0),MATCH(B419,Wetter!B$1:M$1,0))</f>
        <v>8.4</v>
      </c>
      <c r="E419" s="26">
        <v>6827</v>
      </c>
      <c r="F419" s="27">
        <v>4629</v>
      </c>
      <c r="G419" s="35">
        <f>_xlfn.XLOOKUP(A419,Bevölkerung!A:A,Bevölkerung!B:B)</f>
        <v>9051029</v>
      </c>
      <c r="H419" s="28">
        <f t="shared" si="42"/>
        <v>1955.2881831929142</v>
      </c>
      <c r="I419" s="24">
        <f t="shared" si="36"/>
        <v>399.05172413793105</v>
      </c>
      <c r="J419" s="32">
        <f t="shared" si="40"/>
        <v>1.4748325772305033</v>
      </c>
      <c r="K419" s="25">
        <f t="shared" si="41"/>
        <v>2198</v>
      </c>
    </row>
    <row r="420" spans="1:11" x14ac:dyDescent="0.3">
      <c r="A420" s="25">
        <f t="shared" si="37"/>
        <v>2024</v>
      </c>
      <c r="B420" s="25" t="s">
        <v>11</v>
      </c>
      <c r="C420" s="25" t="str">
        <f t="shared" si="38"/>
        <v>Herbst</v>
      </c>
      <c r="D420" s="25">
        <f>INDEX(Wetter!B:M,MATCH(A420,Wetter!A:A,0),MATCH(B420,Wetter!B$1:M$1,0))</f>
        <v>2.83</v>
      </c>
      <c r="E420" s="26">
        <v>6029</v>
      </c>
      <c r="F420" s="27">
        <v>5145</v>
      </c>
      <c r="G420" s="35">
        <f>_xlfn.XLOOKUP(A420,Bevölkerung!A:A,Bevölkerung!B:B)</f>
        <v>9051029</v>
      </c>
      <c r="H420" s="28">
        <f t="shared" si="42"/>
        <v>1759.1893100097182</v>
      </c>
      <c r="I420" s="24">
        <f t="shared" si="36"/>
        <v>299.65055329062312</v>
      </c>
      <c r="J420" s="32">
        <f t="shared" si="40"/>
        <v>1.1718172983479105</v>
      </c>
      <c r="K420" s="25">
        <f t="shared" si="41"/>
        <v>884</v>
      </c>
    </row>
    <row r="421" spans="1:11" x14ac:dyDescent="0.3">
      <c r="A421" s="25">
        <f t="shared" si="37"/>
        <v>2024</v>
      </c>
      <c r="B421" s="25" t="s">
        <v>12</v>
      </c>
      <c r="C421" s="25" t="str">
        <f t="shared" si="38"/>
        <v>Winter</v>
      </c>
      <c r="D421" s="25">
        <f>INDEX(Wetter!B:M,MATCH(A421,Wetter!A:A,0),MATCH(B421,Wetter!B$1:M$1,0))</f>
        <v>-0.84</v>
      </c>
      <c r="E421" s="26">
        <v>5778</v>
      </c>
      <c r="F421" s="27">
        <v>5567</v>
      </c>
      <c r="G421" s="35">
        <f>_xlfn.XLOOKUP(A421,Bevölkerung!A:A,Bevölkerung!B:B)</f>
        <v>9051029</v>
      </c>
      <c r="H421" s="28">
        <f t="shared" si="42"/>
        <v>1625.8359978444405</v>
      </c>
      <c r="I421" s="24">
        <f t="shared" si="36"/>
        <v>267.13051823416509</v>
      </c>
      <c r="J421" s="32">
        <f t="shared" si="40"/>
        <v>1.0379019220405963</v>
      </c>
      <c r="K421" s="25">
        <f t="shared" si="41"/>
        <v>211</v>
      </c>
    </row>
    <row r="422" spans="1:11" x14ac:dyDescent="0.3">
      <c r="A422" s="25">
        <f t="shared" si="37"/>
        <v>2025</v>
      </c>
      <c r="B422" s="25" t="s">
        <v>1</v>
      </c>
      <c r="C422" s="25" t="str">
        <f t="shared" si="38"/>
        <v>Winter</v>
      </c>
      <c r="D422" s="25">
        <f>INDEX(Wetter!B:M,MATCH(A422,Wetter!A:A,0),MATCH(B422,Wetter!B$1:M$1,0))</f>
        <v>-0.81</v>
      </c>
      <c r="E422" s="30">
        <v>5999</v>
      </c>
      <c r="F422" s="30">
        <v>5715</v>
      </c>
      <c r="G422" s="35" t="e">
        <f>_xlfn.XLOOKUP(A422,Bevölkerung!A:A,Bevölkerung!B:B)</f>
        <v>#N/A</v>
      </c>
      <c r="H422" s="28" t="e">
        <f t="shared" si="42"/>
        <v>#N/A</v>
      </c>
      <c r="I422" s="24">
        <f t="shared" si="36"/>
        <v>274.62758289284</v>
      </c>
      <c r="J422" s="32">
        <f t="shared" si="40"/>
        <v>1.0496937882764654</v>
      </c>
      <c r="K422" s="25">
        <f t="shared" si="41"/>
        <v>284</v>
      </c>
    </row>
    <row r="423" spans="1:11" x14ac:dyDescent="0.3">
      <c r="A423" s="25">
        <f t="shared" si="37"/>
        <v>2025</v>
      </c>
      <c r="B423" s="25" t="s">
        <v>2</v>
      </c>
      <c r="C423" s="25" t="str">
        <f t="shared" si="38"/>
        <v>Winter</v>
      </c>
      <c r="D423" s="25">
        <f>INDEX(Wetter!B:M,MATCH(A423,Wetter!A:A,0),MATCH(B423,Wetter!B$1:M$1,0))</f>
        <v>-0.04</v>
      </c>
      <c r="E423" s="30">
        <v>5214</v>
      </c>
      <c r="F423" s="30">
        <v>5124</v>
      </c>
      <c r="G423" s="35" t="e">
        <f>_xlfn.XLOOKUP(A423,Bevölkerung!A:A,Bevölkerung!B:B)</f>
        <v>#N/A</v>
      </c>
      <c r="H423" s="28" t="e">
        <f t="shared" si="42"/>
        <v>#N/A</v>
      </c>
      <c r="I423" s="24">
        <f t="shared" si="36"/>
        <v>255.68862275449104</v>
      </c>
      <c r="J423" s="32">
        <f t="shared" si="40"/>
        <v>1.0175644028103044</v>
      </c>
      <c r="K423" s="25">
        <f t="shared" si="41"/>
        <v>90</v>
      </c>
    </row>
    <row r="424" spans="1:11" x14ac:dyDescent="0.3">
      <c r="A424" s="25">
        <f t="shared" si="37"/>
        <v>2025</v>
      </c>
      <c r="B424" s="25" t="s">
        <v>3</v>
      </c>
      <c r="C424" s="25" t="str">
        <f t="shared" si="38"/>
        <v>Frühling</v>
      </c>
      <c r="D424" s="25">
        <f>INDEX(Wetter!B:M,MATCH(A424,Wetter!A:A,0),MATCH(B424,Wetter!B$1:M$1,0))</f>
        <v>2.8</v>
      </c>
      <c r="E424" s="30">
        <v>4996</v>
      </c>
      <c r="F424" s="30">
        <v>5183</v>
      </c>
      <c r="G424" s="35" t="e">
        <f>_xlfn.XLOOKUP(A424,Bevölkerung!A:A,Bevölkerung!B:B)</f>
        <v>#N/A</v>
      </c>
      <c r="H424" s="28" t="e">
        <f t="shared" si="42"/>
        <v>#N/A</v>
      </c>
      <c r="I424" s="24">
        <f t="shared" si="36"/>
        <v>301.33720930232562</v>
      </c>
      <c r="J424" s="32">
        <f t="shared" si="40"/>
        <v>0.96392050935751494</v>
      </c>
      <c r="K424" s="25">
        <f t="shared" si="41"/>
        <v>-187</v>
      </c>
    </row>
    <row r="425" spans="1:11" x14ac:dyDescent="0.3">
      <c r="A425" s="25">
        <f t="shared" si="37"/>
        <v>2025</v>
      </c>
      <c r="B425" s="25" t="s">
        <v>4</v>
      </c>
      <c r="C425" s="25" t="str">
        <f t="shared" si="38"/>
        <v>Frühling</v>
      </c>
      <c r="D425" s="25">
        <f>INDEX(Wetter!B:M,MATCH(A425,Wetter!A:A,0),MATCH(B425,Wetter!B$1:M$1,0))</f>
        <v>6.75</v>
      </c>
      <c r="E425" s="30">
        <v>5529</v>
      </c>
      <c r="F425" s="30">
        <v>4462</v>
      </c>
      <c r="G425" s="35" t="e">
        <f>_xlfn.XLOOKUP(A425,Bevölkerung!A:A,Bevölkerung!B:B)</f>
        <v>#N/A</v>
      </c>
      <c r="H425" s="28" t="e">
        <f t="shared" si="42"/>
        <v>#N/A</v>
      </c>
      <c r="I425" s="24">
        <f t="shared" si="36"/>
        <v>336.75471698113205</v>
      </c>
      <c r="J425" s="32">
        <f t="shared" si="40"/>
        <v>1.2391304347826086</v>
      </c>
      <c r="K425" s="25">
        <f t="shared" si="41"/>
        <v>1067</v>
      </c>
    </row>
    <row r="426" spans="1:11" x14ac:dyDescent="0.3">
      <c r="A426" s="25">
        <f t="shared" si="37"/>
        <v>2025</v>
      </c>
      <c r="B426" s="25" t="s">
        <v>5</v>
      </c>
      <c r="C426" s="25" t="str">
        <f t="shared" si="38"/>
        <v>Frühling</v>
      </c>
      <c r="D426" s="25">
        <f>INDEX(Wetter!B:M,MATCH(A426,Wetter!A:A,0),MATCH(B426,Wetter!B$1:M$1,0))</f>
        <v>9.06</v>
      </c>
      <c r="E426" s="30">
        <v>6014</v>
      </c>
      <c r="F426" s="30">
        <v>4486</v>
      </c>
      <c r="G426" s="35" t="e">
        <f>_xlfn.XLOOKUP(A426,Bevölkerung!A:A,Bevölkerung!B:B)</f>
        <v>#N/A</v>
      </c>
      <c r="H426" s="28" t="e">
        <f t="shared" si="42"/>
        <v>#N/A</v>
      </c>
      <c r="I426" s="24">
        <f t="shared" si="36"/>
        <v>410.05484460694703</v>
      </c>
      <c r="J426" s="32">
        <f t="shared" si="40"/>
        <v>1.340615247436469</v>
      </c>
      <c r="K426" s="25">
        <f t="shared" si="41"/>
        <v>1528</v>
      </c>
    </row>
    <row r="427" spans="1:11" x14ac:dyDescent="0.3">
      <c r="A427" s="25">
        <f t="shared" si="37"/>
        <v>2025</v>
      </c>
      <c r="B427" s="25" t="s">
        <v>6</v>
      </c>
      <c r="C427" s="25" t="str">
        <f t="shared" si="38"/>
        <v>Sommer</v>
      </c>
      <c r="D427" s="25">
        <f>INDEX(Wetter!B:M,MATCH(A427,Wetter!A:A,0),MATCH(B427,Wetter!B$1:M$1,0))</f>
        <v>16.43</v>
      </c>
      <c r="E427" s="30">
        <v>7029</v>
      </c>
      <c r="F427" s="30">
        <v>4426</v>
      </c>
      <c r="G427" s="35" t="e">
        <f>_xlfn.XLOOKUP(A427,Bevölkerung!A:A,Bevölkerung!B:B)</f>
        <v>#N/A</v>
      </c>
      <c r="H427" s="28" t="e">
        <f t="shared" si="42"/>
        <v>#N/A</v>
      </c>
      <c r="I427" s="24">
        <f t="shared" si="36"/>
        <v>1239.7759103641456</v>
      </c>
      <c r="J427" s="32">
        <f t="shared" si="40"/>
        <v>1.5881156800723</v>
      </c>
      <c r="K427" s="25">
        <f t="shared" si="41"/>
        <v>2603</v>
      </c>
    </row>
    <row r="428" spans="1:11" x14ac:dyDescent="0.3">
      <c r="A428" s="25">
        <f t="shared" si="37"/>
        <v>2025</v>
      </c>
      <c r="B428" s="25" t="s">
        <v>7</v>
      </c>
      <c r="C428" s="25" t="str">
        <f t="shared" si="38"/>
        <v>Sommer</v>
      </c>
      <c r="D428" s="25">
        <f>INDEX(Wetter!B:M,MATCH(A428,Wetter!A:A,0),MATCH(B428,Wetter!B$1:M$1,0))</f>
        <v>14.18</v>
      </c>
      <c r="E428" s="30">
        <v>6377</v>
      </c>
      <c r="F428" s="30">
        <v>4422</v>
      </c>
      <c r="G428" s="35" t="e">
        <f>_xlfn.XLOOKUP(A428,Bevölkerung!A:A,Bevölkerung!B:B)</f>
        <v>#N/A</v>
      </c>
      <c r="H428" s="28" t="e">
        <f t="shared" si="42"/>
        <v>#N/A</v>
      </c>
      <c r="I428" s="24">
        <f t="shared" si="36"/>
        <v>759.79381443298962</v>
      </c>
      <c r="J428" s="32">
        <f t="shared" si="40"/>
        <v>1.442107643600181</v>
      </c>
      <c r="K428" s="25">
        <f t="shared" si="41"/>
        <v>1955</v>
      </c>
    </row>
    <row r="429" spans="1:11" x14ac:dyDescent="0.3">
      <c r="A429" s="25">
        <f t="shared" si="37"/>
        <v>2025</v>
      </c>
      <c r="B429" s="25" t="s">
        <v>8</v>
      </c>
      <c r="C429" s="25" t="str">
        <f t="shared" si="38"/>
        <v>Sommer</v>
      </c>
      <c r="D429" s="25">
        <f>INDEX(Wetter!B:M,MATCH(A429,Wetter!A:A,0),MATCH(B429,Wetter!B$1:M$1,0))</f>
        <v>15.59</v>
      </c>
      <c r="E429" s="30">
        <v>6024</v>
      </c>
      <c r="F429" s="30">
        <v>4357</v>
      </c>
      <c r="G429" s="35" t="e">
        <f>_xlfn.XLOOKUP(A429,Bevölkerung!A:A,Bevölkerung!B:B)</f>
        <v>#N/A</v>
      </c>
      <c r="H429" s="28" t="e">
        <f t="shared" si="42"/>
        <v>#N/A</v>
      </c>
      <c r="I429" s="24">
        <f t="shared" si="36"/>
        <v>987.98185941043084</v>
      </c>
      <c r="J429" s="32">
        <f t="shared" si="40"/>
        <v>1.3826027082855175</v>
      </c>
      <c r="K429" s="25">
        <f t="shared" si="41"/>
        <v>1667</v>
      </c>
    </row>
    <row r="430" spans="1:11" x14ac:dyDescent="0.3">
      <c r="A430" s="25">
        <f t="shared" si="37"/>
        <v>2025</v>
      </c>
      <c r="B430" s="25" t="s">
        <v>9</v>
      </c>
      <c r="C430" s="25" t="str">
        <f t="shared" si="38"/>
        <v>Herbst</v>
      </c>
      <c r="D430" s="25">
        <f>INDEX(Wetter!B:M,MATCH(A430,Wetter!A:A,0),MATCH(B430,Wetter!B$1:M$1,0))</f>
        <v>10.95</v>
      </c>
      <c r="E430" s="30">
        <v>5719</v>
      </c>
      <c r="F430" s="30">
        <v>4401</v>
      </c>
      <c r="G430" s="35" t="e">
        <f>_xlfn.XLOOKUP(A430,Bevölkerung!A:A,Bevölkerung!B:B)</f>
        <v>#N/A</v>
      </c>
      <c r="H430" s="28" t="e">
        <f t="shared" si="42"/>
        <v>#N/A</v>
      </c>
      <c r="I430" s="24">
        <f t="shared" si="36"/>
        <v>486.2983425414364</v>
      </c>
      <c r="J430" s="32">
        <f t="shared" si="40"/>
        <v>1.2994773915019313</v>
      </c>
      <c r="K430" s="25">
        <f t="shared" si="41"/>
        <v>1318</v>
      </c>
    </row>
    <row r="431" spans="1:11" x14ac:dyDescent="0.3">
      <c r="A431" s="25">
        <f t="shared" si="37"/>
        <v>2025</v>
      </c>
      <c r="B431" s="25" t="s">
        <v>10</v>
      </c>
      <c r="C431" s="25" t="str">
        <f t="shared" si="38"/>
        <v>Herbst</v>
      </c>
      <c r="D431" s="25">
        <f>INDEX(Wetter!B:M,MATCH(A431,Wetter!A:A,0),MATCH(B431,Wetter!B$1:M$1,0))</f>
        <v>6.38</v>
      </c>
      <c r="E431" s="30">
        <v>5168</v>
      </c>
      <c r="F431" s="30">
        <v>4838</v>
      </c>
      <c r="G431" s="35" t="e">
        <f>_xlfn.XLOOKUP(A431,Bevölkerung!A:A,Bevölkerung!B:B)</f>
        <v>#N/A</v>
      </c>
      <c r="H431" s="28" t="e">
        <f t="shared" si="42"/>
        <v>#N/A</v>
      </c>
      <c r="I431" s="24">
        <f t="shared" si="36"/>
        <v>355.21292217327459</v>
      </c>
      <c r="J431" s="32">
        <f t="shared" si="40"/>
        <v>1.0682100041339397</v>
      </c>
      <c r="K431" s="25">
        <f t="shared" si="41"/>
        <v>330</v>
      </c>
    </row>
    <row r="432" spans="1:11" x14ac:dyDescent="0.3">
      <c r="A432" s="25">
        <f t="shared" si="37"/>
        <v>2025</v>
      </c>
      <c r="B432" s="25" t="s">
        <v>11</v>
      </c>
      <c r="C432" s="25" t="str">
        <f t="shared" si="38"/>
        <v>Herbst</v>
      </c>
      <c r="D432" s="25">
        <f>INDEX(Wetter!B:M,MATCH(A432,Wetter!A:A,0),MATCH(B432,Wetter!B$1:M$1,0))</f>
        <v>1.86</v>
      </c>
      <c r="E432" s="30">
        <v>4961</v>
      </c>
      <c r="F432" s="30">
        <v>5236</v>
      </c>
      <c r="G432" s="35" t="e">
        <f>_xlfn.XLOOKUP(A432,Bevölkerung!A:A,Bevölkerung!B:B)</f>
        <v>#N/A</v>
      </c>
      <c r="H432" s="28" t="e">
        <f t="shared" si="42"/>
        <v>#N/A</v>
      </c>
      <c r="I432" s="24">
        <f t="shared" si="36"/>
        <v>288.64388092613007</v>
      </c>
      <c r="J432" s="32">
        <f t="shared" si="40"/>
        <v>0.94747899159663862</v>
      </c>
      <c r="K432" s="25">
        <f t="shared" si="41"/>
        <v>-275</v>
      </c>
    </row>
    <row r="433" spans="1:11" x14ac:dyDescent="0.3">
      <c r="A433" s="25">
        <f t="shared" si="37"/>
        <v>2025</v>
      </c>
      <c r="B433" s="25" t="s">
        <v>12</v>
      </c>
      <c r="C433" s="25" t="str">
        <f t="shared" si="38"/>
        <v>Winter</v>
      </c>
      <c r="D433" s="25">
        <f>INDEX(Wetter!B:M,MATCH(A433,Wetter!A:A,0),MATCH(B433,Wetter!B$1:M$1,0))</f>
        <v>0.64</v>
      </c>
      <c r="E433" s="30">
        <v>4693</v>
      </c>
      <c r="F433" s="30">
        <v>5505</v>
      </c>
      <c r="G433" s="35" t="e">
        <f>_xlfn.XLOOKUP(A433,Bevölkerung!A:A,Bevölkerung!B:B)</f>
        <v>#N/A</v>
      </c>
      <c r="H433" s="28" t="e">
        <f t="shared" si="42"/>
        <v>#N/A</v>
      </c>
      <c r="I433" s="24">
        <f t="shared" si="36"/>
        <v>284.34917355371903</v>
      </c>
      <c r="J433" s="32">
        <f t="shared" si="40"/>
        <v>0.85249772933696644</v>
      </c>
      <c r="K433" s="25">
        <f t="shared" si="41"/>
        <v>-812</v>
      </c>
    </row>
    <row r="434" spans="1:11" x14ac:dyDescent="0.3">
      <c r="A434" s="25">
        <f t="shared" si="37"/>
        <v>2026</v>
      </c>
      <c r="B434" s="25" t="s">
        <v>1</v>
      </c>
      <c r="C434" s="25" t="str">
        <f t="shared" si="38"/>
        <v>Winter</v>
      </c>
      <c r="D434" s="25">
        <f>INDEX(Wetter!B:M,MATCH(A434,Wetter!A:A,0),MATCH(B434,Wetter!B$1:M$1,0))</f>
        <v>-2.68</v>
      </c>
      <c r="E434" s="30">
        <v>4911</v>
      </c>
      <c r="F434" s="30">
        <v>5983</v>
      </c>
      <c r="G434" s="35" t="e">
        <f>_xlfn.XLOOKUP(A434,Bevölkerung!A:A,Bevölkerung!B:B)</f>
        <v>#N/A</v>
      </c>
      <c r="H434" s="28" t="e">
        <f t="shared" si="42"/>
        <v>#N/A</v>
      </c>
      <c r="I434" s="24">
        <f t="shared" si="36"/>
        <v>263.80070546737215</v>
      </c>
      <c r="J434" s="32">
        <f t="shared" si="40"/>
        <v>0.82082567273942841</v>
      </c>
      <c r="K434" s="25">
        <f t="shared" si="41"/>
        <v>-1072</v>
      </c>
    </row>
    <row r="435" spans="1:11" x14ac:dyDescent="0.3">
      <c r="A435" s="25"/>
      <c r="B435" s="25"/>
      <c r="C435" s="25"/>
      <c r="D435" s="25"/>
      <c r="E435" s="25"/>
      <c r="F435" s="25"/>
      <c r="G435" s="25"/>
      <c r="H435" s="25"/>
    </row>
    <row r="436" spans="1:11" x14ac:dyDescent="0.3">
      <c r="A436" s="25"/>
      <c r="B436" s="25"/>
      <c r="C436" s="25"/>
      <c r="D436" s="25"/>
      <c r="E436" s="25"/>
      <c r="F436" s="25"/>
      <c r="G436" s="25"/>
      <c r="H436" s="25"/>
    </row>
    <row r="437" spans="1:11" x14ac:dyDescent="0.3">
      <c r="A437" s="25"/>
      <c r="B437" s="25"/>
      <c r="C437" s="25"/>
      <c r="D437" s="25"/>
      <c r="E437" s="25"/>
      <c r="F437" s="25"/>
      <c r="G437" s="25"/>
      <c r="H437" s="25"/>
    </row>
    <row r="438" spans="1:11" x14ac:dyDescent="0.3">
      <c r="A438" s="25"/>
      <c r="B438" s="25"/>
      <c r="C438" s="25"/>
      <c r="D438" s="25"/>
      <c r="E438" s="25"/>
      <c r="F438" s="25"/>
      <c r="G438" s="25"/>
      <c r="H438" s="25"/>
    </row>
    <row r="439" spans="1:11" x14ac:dyDescent="0.3">
      <c r="A439" s="25"/>
      <c r="B439" s="25"/>
      <c r="C439" s="25"/>
      <c r="D439" s="25"/>
      <c r="E439" s="25"/>
      <c r="F439" s="25"/>
      <c r="G439" s="25"/>
      <c r="H439" s="25"/>
    </row>
    <row r="440" spans="1:11" x14ac:dyDescent="0.3">
      <c r="A440" s="25"/>
      <c r="B440" s="25"/>
      <c r="C440" s="25"/>
      <c r="D440" s="25"/>
      <c r="E440" s="25"/>
      <c r="F440" s="25"/>
      <c r="G440" s="25"/>
      <c r="H440" s="25"/>
    </row>
    <row r="441" spans="1:11" x14ac:dyDescent="0.3">
      <c r="A441" s="25"/>
      <c r="B441" s="25"/>
      <c r="C441" s="25"/>
      <c r="D441" s="25"/>
      <c r="E441" s="25"/>
      <c r="F441" s="25"/>
      <c r="G441" s="25"/>
      <c r="H441" s="25"/>
    </row>
    <row r="442" spans="1:11" x14ac:dyDescent="0.3">
      <c r="A442" s="25"/>
      <c r="B442" s="25"/>
      <c r="C442" s="25"/>
      <c r="D442" s="25"/>
      <c r="E442" s="25"/>
      <c r="F442" s="25"/>
      <c r="G442" s="25"/>
      <c r="H442" s="25"/>
    </row>
    <row r="443" spans="1:11" x14ac:dyDescent="0.3">
      <c r="A443" s="25"/>
      <c r="B443" s="25"/>
      <c r="C443" s="25"/>
      <c r="D443" s="25"/>
      <c r="E443" s="25"/>
      <c r="F443" s="25"/>
      <c r="G443" s="25"/>
      <c r="H443" s="25"/>
    </row>
    <row r="444" spans="1:11" x14ac:dyDescent="0.3">
      <c r="A444" s="25"/>
      <c r="B444" s="25"/>
      <c r="C444" s="25"/>
      <c r="D444" s="25"/>
      <c r="E444" s="25"/>
      <c r="F444" s="25"/>
      <c r="G444" s="25"/>
      <c r="H444" s="25"/>
    </row>
    <row r="445" spans="1:11" x14ac:dyDescent="0.3">
      <c r="A445" s="25"/>
      <c r="B445" s="25"/>
      <c r="C445" s="25"/>
      <c r="D445" s="25"/>
      <c r="E445" s="25"/>
      <c r="F445" s="25"/>
      <c r="G445" s="25"/>
      <c r="H445" s="25"/>
    </row>
    <row r="446" spans="1:11" x14ac:dyDescent="0.3">
      <c r="A446" s="25"/>
      <c r="B446" s="25"/>
      <c r="C446" s="25"/>
      <c r="D446" s="25"/>
      <c r="E446" s="25"/>
      <c r="F446" s="25"/>
      <c r="G446" s="25"/>
      <c r="H446" s="25"/>
    </row>
    <row r="447" spans="1:11" x14ac:dyDescent="0.3">
      <c r="A447" s="25"/>
      <c r="B447" s="25"/>
      <c r="C447" s="25"/>
      <c r="D447" s="25"/>
      <c r="E447" s="25"/>
      <c r="F447" s="25"/>
      <c r="G447" s="25"/>
      <c r="H447" s="25"/>
    </row>
    <row r="448" spans="1:11" x14ac:dyDescent="0.3">
      <c r="A448" s="25"/>
      <c r="B448" s="25"/>
      <c r="C448" s="25"/>
      <c r="D448" s="25"/>
      <c r="E448" s="25"/>
      <c r="F448" s="25"/>
      <c r="G448" s="25"/>
      <c r="H448" s="25"/>
    </row>
    <row r="449" spans="1:8" x14ac:dyDescent="0.3">
      <c r="A449" s="25"/>
      <c r="B449" s="25"/>
      <c r="C449" s="25"/>
      <c r="D449" s="25"/>
      <c r="E449" s="25"/>
      <c r="F449" s="25"/>
      <c r="G449" s="25"/>
      <c r="H449" s="25"/>
    </row>
    <row r="450" spans="1:8" x14ac:dyDescent="0.3">
      <c r="A450" s="25"/>
      <c r="B450" s="25"/>
      <c r="C450" s="25"/>
      <c r="D450" s="25"/>
      <c r="E450" s="25"/>
      <c r="F450" s="25"/>
      <c r="G450" s="25"/>
      <c r="H450" s="25"/>
    </row>
    <row r="451" spans="1:8" x14ac:dyDescent="0.3">
      <c r="A451" s="25"/>
      <c r="B451" s="25"/>
      <c r="C451" s="25"/>
      <c r="D451" s="25"/>
      <c r="E451" s="25"/>
      <c r="F451" s="25"/>
      <c r="G451" s="25"/>
      <c r="H451" s="25"/>
    </row>
    <row r="452" spans="1:8" x14ac:dyDescent="0.3">
      <c r="A452" s="25"/>
      <c r="B452" s="25"/>
      <c r="C452" s="25"/>
      <c r="D452" s="25"/>
      <c r="E452" s="25"/>
      <c r="F452" s="25"/>
      <c r="G452" s="25"/>
      <c r="H452" s="25"/>
    </row>
    <row r="453" spans="1:8" x14ac:dyDescent="0.3">
      <c r="A453" s="25"/>
      <c r="B453" s="25"/>
      <c r="C453" s="25"/>
      <c r="D453" s="25"/>
      <c r="E453" s="25"/>
      <c r="F453" s="25"/>
      <c r="G453" s="25"/>
      <c r="H453" s="25"/>
    </row>
    <row r="454" spans="1:8" x14ac:dyDescent="0.3">
      <c r="A454" s="25"/>
      <c r="B454" s="25"/>
      <c r="C454" s="25"/>
      <c r="D454" s="25"/>
      <c r="E454" s="25"/>
      <c r="F454" s="25"/>
      <c r="G454" s="25"/>
      <c r="H454" s="25"/>
    </row>
    <row r="455" spans="1:8" x14ac:dyDescent="0.3">
      <c r="A455" s="25"/>
      <c r="B455" s="25"/>
      <c r="C455" s="25"/>
      <c r="D455" s="25"/>
      <c r="E455" s="25"/>
      <c r="F455" s="25"/>
      <c r="G455" s="25"/>
      <c r="H455" s="25"/>
    </row>
    <row r="456" spans="1:8" x14ac:dyDescent="0.3">
      <c r="A456" s="25"/>
      <c r="B456" s="25"/>
      <c r="C456" s="25"/>
      <c r="D456" s="25"/>
      <c r="E456" s="25"/>
      <c r="F456" s="25"/>
      <c r="G456" s="25"/>
      <c r="H456" s="25"/>
    </row>
    <row r="457" spans="1:8" x14ac:dyDescent="0.3">
      <c r="A457" s="25"/>
      <c r="B457" s="25"/>
      <c r="C457" s="25"/>
      <c r="D457" s="25"/>
      <c r="E457" s="25"/>
      <c r="F457" s="25"/>
      <c r="G457" s="25"/>
      <c r="H457" s="25"/>
    </row>
    <row r="458" spans="1:8" x14ac:dyDescent="0.3">
      <c r="A458" s="25"/>
      <c r="B458" s="25"/>
      <c r="C458" s="25"/>
      <c r="D458" s="25"/>
      <c r="E458" s="25"/>
      <c r="F458" s="25"/>
      <c r="G458" s="25"/>
      <c r="H458" s="25"/>
    </row>
    <row r="459" spans="1:8" x14ac:dyDescent="0.3">
      <c r="A459" s="25"/>
      <c r="B459" s="25"/>
      <c r="C459" s="25"/>
      <c r="D459" s="25"/>
      <c r="E459" s="25"/>
      <c r="F459" s="25"/>
      <c r="G459" s="25"/>
      <c r="H459" s="25"/>
    </row>
    <row r="460" spans="1:8" x14ac:dyDescent="0.3">
      <c r="A460" s="25"/>
      <c r="B460" s="25"/>
      <c r="C460" s="25"/>
      <c r="D460" s="25"/>
      <c r="E460" s="25"/>
      <c r="F460" s="25"/>
      <c r="G460" s="25"/>
      <c r="H460" s="25"/>
    </row>
    <row r="461" spans="1:8" x14ac:dyDescent="0.3">
      <c r="A461" s="25"/>
      <c r="B461" s="25"/>
      <c r="C461" s="25"/>
      <c r="D461" s="25"/>
      <c r="E461" s="25"/>
      <c r="F461" s="25"/>
      <c r="G461" s="25"/>
      <c r="H461" s="25"/>
    </row>
    <row r="462" spans="1:8" x14ac:dyDescent="0.3">
      <c r="A462" s="25"/>
      <c r="B462" s="25"/>
      <c r="C462" s="25"/>
      <c r="D462" s="25"/>
      <c r="E462" s="25"/>
      <c r="F462" s="25"/>
      <c r="G462" s="25"/>
      <c r="H462" s="25"/>
    </row>
    <row r="463" spans="1:8" x14ac:dyDescent="0.3">
      <c r="A463" s="25"/>
      <c r="B463" s="25"/>
      <c r="C463" s="25"/>
      <c r="D463" s="25"/>
      <c r="E463" s="25"/>
      <c r="F463" s="25"/>
      <c r="G463" s="25"/>
      <c r="H463" s="25"/>
    </row>
    <row r="464" spans="1:8" x14ac:dyDescent="0.3">
      <c r="A464" s="25"/>
      <c r="B464" s="25"/>
      <c r="C464" s="25"/>
      <c r="D464" s="25"/>
      <c r="E464" s="25"/>
      <c r="F464" s="25"/>
      <c r="G464" s="25"/>
      <c r="H464" s="25"/>
    </row>
    <row r="465" spans="1:8" x14ac:dyDescent="0.3">
      <c r="A465" s="25"/>
      <c r="B465" s="25"/>
      <c r="C465" s="25"/>
      <c r="D465" s="25"/>
      <c r="E465" s="25"/>
      <c r="F465" s="25"/>
      <c r="G465" s="25"/>
      <c r="H465" s="25"/>
    </row>
    <row r="466" spans="1:8" x14ac:dyDescent="0.3">
      <c r="A466" s="25"/>
      <c r="B466" s="25"/>
      <c r="C466" s="25"/>
      <c r="D466" s="25"/>
      <c r="E466" s="25"/>
      <c r="F466" s="25"/>
      <c r="G466" s="25"/>
      <c r="H466" s="25"/>
    </row>
    <row r="467" spans="1:8" x14ac:dyDescent="0.3">
      <c r="A467" s="25"/>
      <c r="B467" s="25"/>
      <c r="C467" s="25"/>
      <c r="D467" s="25"/>
      <c r="E467" s="25"/>
      <c r="F467" s="25"/>
      <c r="G467" s="25"/>
      <c r="H467" s="25"/>
    </row>
    <row r="468" spans="1:8" x14ac:dyDescent="0.3">
      <c r="A468" s="25"/>
      <c r="B468" s="25"/>
      <c r="C468" s="25"/>
      <c r="D468" s="25"/>
      <c r="E468" s="25"/>
      <c r="F468" s="25"/>
      <c r="G468" s="25"/>
      <c r="H468" s="25"/>
    </row>
    <row r="469" spans="1:8" x14ac:dyDescent="0.3">
      <c r="A469" s="25"/>
      <c r="B469" s="25"/>
      <c r="C469" s="25"/>
      <c r="D469" s="25"/>
      <c r="E469" s="25"/>
      <c r="F469" s="25"/>
      <c r="G469" s="25"/>
      <c r="H469" s="25"/>
    </row>
    <row r="470" spans="1:8" x14ac:dyDescent="0.3">
      <c r="A470" s="25"/>
      <c r="B470" s="25"/>
      <c r="C470" s="25"/>
      <c r="D470" s="25"/>
      <c r="E470" s="25"/>
      <c r="F470" s="25"/>
      <c r="G470" s="25"/>
      <c r="H470" s="25"/>
    </row>
    <row r="471" spans="1:8" x14ac:dyDescent="0.3">
      <c r="A471" s="25"/>
      <c r="B471" s="25"/>
      <c r="C471" s="25"/>
      <c r="D471" s="25"/>
      <c r="E471" s="25"/>
      <c r="F471" s="25"/>
      <c r="G471" s="25"/>
      <c r="H471" s="25"/>
    </row>
    <row r="472" spans="1:8" x14ac:dyDescent="0.3">
      <c r="A472" s="25"/>
      <c r="B472" s="25"/>
      <c r="C472" s="25"/>
      <c r="D472" s="25"/>
      <c r="E472" s="25"/>
      <c r="F472" s="25"/>
      <c r="G472" s="25"/>
      <c r="H472" s="25"/>
    </row>
    <row r="473" spans="1:8" x14ac:dyDescent="0.3">
      <c r="A473" s="25"/>
      <c r="B473" s="25"/>
      <c r="C473" s="25"/>
      <c r="D473" s="25"/>
      <c r="E473" s="25"/>
      <c r="F473" s="25"/>
      <c r="G473" s="25"/>
      <c r="H473" s="25"/>
    </row>
    <row r="474" spans="1:8" x14ac:dyDescent="0.3">
      <c r="A474" s="25"/>
      <c r="B474" s="25"/>
      <c r="C474" s="25"/>
      <c r="D474" s="25"/>
      <c r="E474" s="25"/>
      <c r="F474" s="25"/>
      <c r="G474" s="25"/>
      <c r="H474" s="25"/>
    </row>
    <row r="475" spans="1:8" x14ac:dyDescent="0.3">
      <c r="A475" s="25"/>
      <c r="B475" s="25"/>
      <c r="C475" s="25"/>
      <c r="D475" s="25"/>
      <c r="E475" s="25"/>
      <c r="F475" s="25"/>
      <c r="G475" s="25"/>
      <c r="H475" s="25"/>
    </row>
    <row r="476" spans="1:8" x14ac:dyDescent="0.3">
      <c r="A476" s="25"/>
      <c r="B476" s="25"/>
      <c r="C476" s="25"/>
      <c r="D476" s="25"/>
      <c r="E476" s="25"/>
      <c r="F476" s="25"/>
      <c r="G476" s="25"/>
      <c r="H476" s="25"/>
    </row>
    <row r="477" spans="1:8" x14ac:dyDescent="0.3">
      <c r="A477" s="25"/>
      <c r="B477" s="25"/>
      <c r="C477" s="25"/>
      <c r="D477" s="25"/>
      <c r="E477" s="25"/>
      <c r="F477" s="25"/>
      <c r="G477" s="25"/>
      <c r="H477" s="25"/>
    </row>
    <row r="478" spans="1:8" x14ac:dyDescent="0.3">
      <c r="A478" s="25"/>
      <c r="B478" s="25"/>
      <c r="C478" s="25"/>
      <c r="D478" s="25"/>
      <c r="E478" s="25"/>
      <c r="F478" s="25"/>
      <c r="G478" s="25"/>
      <c r="H478" s="25"/>
    </row>
    <row r="479" spans="1:8" x14ac:dyDescent="0.3">
      <c r="A479" s="25"/>
      <c r="B479" s="25"/>
      <c r="C479" s="25"/>
      <c r="D479" s="25"/>
      <c r="E479" s="25"/>
      <c r="F479" s="25"/>
      <c r="G479" s="25"/>
      <c r="H479" s="25"/>
    </row>
    <row r="480" spans="1:8" x14ac:dyDescent="0.3">
      <c r="A480" s="25"/>
      <c r="B480" s="25"/>
      <c r="C480" s="25"/>
      <c r="D480" s="25"/>
      <c r="E480" s="25"/>
      <c r="F480" s="25"/>
      <c r="G480" s="25"/>
      <c r="H480" s="25"/>
    </row>
    <row r="481" spans="1:8" x14ac:dyDescent="0.3">
      <c r="A481" s="25"/>
      <c r="B481" s="25"/>
      <c r="C481" s="25"/>
      <c r="D481" s="25"/>
      <c r="E481" s="25"/>
      <c r="F481" s="25"/>
      <c r="G481" s="25"/>
      <c r="H481" s="25"/>
    </row>
    <row r="482" spans="1:8" x14ac:dyDescent="0.3">
      <c r="A482" s="25"/>
      <c r="B482" s="25"/>
      <c r="C482" s="25"/>
      <c r="D482" s="25"/>
      <c r="E482" s="25"/>
      <c r="F482" s="25"/>
      <c r="G482" s="25"/>
      <c r="H482" s="25"/>
    </row>
    <row r="483" spans="1:8" x14ac:dyDescent="0.3">
      <c r="A483" s="25"/>
      <c r="B483" s="25"/>
      <c r="C483" s="25"/>
      <c r="D483" s="25"/>
      <c r="E483" s="25"/>
      <c r="F483" s="25"/>
      <c r="G483" s="25"/>
      <c r="H483" s="25"/>
    </row>
    <row r="484" spans="1:8" x14ac:dyDescent="0.3">
      <c r="A484" s="25"/>
      <c r="B484" s="25"/>
      <c r="C484" s="25"/>
      <c r="D484" s="25"/>
      <c r="E484" s="25"/>
      <c r="F484" s="25"/>
      <c r="G484" s="25"/>
      <c r="H484" s="25"/>
    </row>
    <row r="485" spans="1:8" x14ac:dyDescent="0.3">
      <c r="A485" s="25"/>
      <c r="B485" s="25"/>
      <c r="C485" s="25"/>
      <c r="D485" s="25"/>
      <c r="E485" s="25"/>
      <c r="F485" s="25"/>
      <c r="G485" s="25"/>
      <c r="H485" s="25"/>
    </row>
    <row r="486" spans="1:8" x14ac:dyDescent="0.3">
      <c r="A486" s="25"/>
      <c r="B486" s="25"/>
      <c r="C486" s="25"/>
      <c r="D486" s="25"/>
      <c r="E486" s="25"/>
      <c r="F486" s="25"/>
      <c r="G486" s="25"/>
      <c r="H486" s="25"/>
    </row>
    <row r="487" spans="1:8" x14ac:dyDescent="0.3">
      <c r="A487" s="25"/>
      <c r="B487" s="25"/>
      <c r="C487" s="25"/>
      <c r="D487" s="25"/>
      <c r="E487" s="25"/>
      <c r="F487" s="25"/>
      <c r="G487" s="25"/>
      <c r="H487" s="25"/>
    </row>
    <row r="488" spans="1:8" x14ac:dyDescent="0.3">
      <c r="A488" s="25"/>
      <c r="B488" s="25"/>
      <c r="C488" s="25"/>
      <c r="D488" s="25"/>
      <c r="E488" s="25"/>
      <c r="F488" s="25"/>
      <c r="G488" s="25"/>
      <c r="H488" s="25"/>
    </row>
    <row r="489" spans="1:8" x14ac:dyDescent="0.3">
      <c r="A489" s="25"/>
      <c r="B489" s="25"/>
      <c r="C489" s="25"/>
      <c r="D489" s="25"/>
      <c r="E489" s="25"/>
      <c r="F489" s="25"/>
      <c r="G489" s="25"/>
      <c r="H489" s="25"/>
    </row>
    <row r="490" spans="1:8" x14ac:dyDescent="0.3">
      <c r="A490" s="25"/>
      <c r="B490" s="25"/>
      <c r="C490" s="25"/>
      <c r="D490" s="25"/>
      <c r="E490" s="25"/>
      <c r="F490" s="25"/>
      <c r="G490" s="25"/>
      <c r="H490" s="25"/>
    </row>
    <row r="491" spans="1:8" x14ac:dyDescent="0.3">
      <c r="A491" s="25"/>
      <c r="B491" s="25"/>
      <c r="C491" s="25"/>
      <c r="D491" s="25"/>
      <c r="E491" s="25"/>
      <c r="F491" s="25"/>
      <c r="G491" s="25"/>
      <c r="H491" s="25"/>
    </row>
    <row r="492" spans="1:8" x14ac:dyDescent="0.3">
      <c r="A492" s="25"/>
      <c r="B492" s="25"/>
      <c r="C492" s="25"/>
      <c r="D492" s="25"/>
      <c r="E492" s="25"/>
      <c r="F492" s="25"/>
      <c r="G492" s="25"/>
      <c r="H492" s="25"/>
    </row>
    <row r="493" spans="1:8" x14ac:dyDescent="0.3">
      <c r="A493" s="25"/>
      <c r="B493" s="25"/>
      <c r="C493" s="25"/>
      <c r="D493" s="25"/>
      <c r="E493" s="25"/>
      <c r="F493" s="25"/>
      <c r="G493" s="25"/>
      <c r="H493" s="25"/>
    </row>
    <row r="494" spans="1:8" x14ac:dyDescent="0.3">
      <c r="A494" s="25"/>
      <c r="B494" s="25"/>
      <c r="C494" s="25"/>
      <c r="D494" s="25"/>
      <c r="E494" s="25"/>
      <c r="F494" s="25"/>
      <c r="G494" s="25"/>
      <c r="H494" s="25"/>
    </row>
    <row r="495" spans="1:8" x14ac:dyDescent="0.3">
      <c r="A495" s="25"/>
      <c r="B495" s="25"/>
      <c r="C495" s="25"/>
      <c r="D495" s="25"/>
      <c r="E495" s="25"/>
      <c r="F495" s="25"/>
      <c r="G495" s="25"/>
      <c r="H495" s="25"/>
    </row>
    <row r="496" spans="1:8" x14ac:dyDescent="0.3">
      <c r="A496" s="25"/>
      <c r="B496" s="25"/>
      <c r="C496" s="25"/>
      <c r="D496" s="25"/>
      <c r="E496" s="25"/>
      <c r="F496" s="25"/>
      <c r="G496" s="25"/>
      <c r="H496" s="25"/>
    </row>
    <row r="497" spans="1:8" x14ac:dyDescent="0.3">
      <c r="A497" s="25"/>
      <c r="B497" s="25"/>
      <c r="C497" s="25"/>
      <c r="D497" s="25"/>
      <c r="E497" s="25"/>
      <c r="F497" s="25"/>
      <c r="G497" s="25"/>
      <c r="H497" s="25"/>
    </row>
    <row r="498" spans="1:8" x14ac:dyDescent="0.3">
      <c r="A498" s="25"/>
      <c r="B498" s="25"/>
      <c r="C498" s="25"/>
      <c r="D498" s="25"/>
      <c r="E498" s="25"/>
      <c r="F498" s="25"/>
      <c r="G498" s="25"/>
      <c r="H498" s="25"/>
    </row>
    <row r="499" spans="1:8" x14ac:dyDescent="0.3">
      <c r="A499" s="25"/>
      <c r="B499" s="25"/>
      <c r="C499" s="25"/>
      <c r="D499" s="25"/>
      <c r="E499" s="25"/>
      <c r="F499" s="25"/>
      <c r="G499" s="25"/>
      <c r="H499" s="25"/>
    </row>
    <row r="500" spans="1:8" x14ac:dyDescent="0.3">
      <c r="A500" s="25"/>
      <c r="B500" s="25"/>
      <c r="C500" s="25"/>
      <c r="D500" s="25"/>
      <c r="E500" s="25"/>
      <c r="F500" s="25"/>
      <c r="G500" s="25"/>
      <c r="H500" s="25"/>
    </row>
    <row r="501" spans="1:8" x14ac:dyDescent="0.3">
      <c r="A501" s="25"/>
      <c r="B501" s="25"/>
      <c r="C501" s="25"/>
      <c r="D501" s="25"/>
      <c r="E501" s="25"/>
      <c r="F501" s="25"/>
      <c r="G501" s="25"/>
      <c r="H501" s="25"/>
    </row>
    <row r="502" spans="1:8" x14ac:dyDescent="0.3">
      <c r="A502" s="25"/>
      <c r="B502" s="25"/>
      <c r="C502" s="25"/>
      <c r="D502" s="25"/>
      <c r="E502" s="25"/>
      <c r="F502" s="25"/>
      <c r="G502" s="25"/>
      <c r="H502" s="25"/>
    </row>
    <row r="503" spans="1:8" x14ac:dyDescent="0.3">
      <c r="A503" s="25"/>
      <c r="B503" s="25"/>
      <c r="C503" s="25"/>
      <c r="D503" s="25"/>
      <c r="E503" s="25"/>
      <c r="F503" s="25"/>
      <c r="G503" s="25"/>
      <c r="H503" s="25"/>
    </row>
    <row r="504" spans="1:8" x14ac:dyDescent="0.3">
      <c r="A504" s="25"/>
      <c r="B504" s="25"/>
      <c r="C504" s="25"/>
      <c r="D504" s="25"/>
      <c r="E504" s="25"/>
      <c r="F504" s="25"/>
      <c r="G504" s="25"/>
      <c r="H504" s="25"/>
    </row>
    <row r="505" spans="1:8" x14ac:dyDescent="0.3">
      <c r="A505" s="25"/>
      <c r="B505" s="25"/>
      <c r="C505" s="25"/>
      <c r="D505" s="25"/>
      <c r="E505" s="25"/>
      <c r="F505" s="25"/>
      <c r="G505" s="25"/>
      <c r="H505" s="25"/>
    </row>
    <row r="506" spans="1:8" x14ac:dyDescent="0.3">
      <c r="A506" s="25"/>
      <c r="B506" s="25"/>
      <c r="C506" s="25"/>
      <c r="D506" s="25"/>
      <c r="E506" s="25"/>
      <c r="F506" s="25"/>
      <c r="G506" s="25"/>
      <c r="H506" s="25"/>
    </row>
    <row r="507" spans="1:8" x14ac:dyDescent="0.3">
      <c r="A507" s="25"/>
      <c r="B507" s="25"/>
      <c r="C507" s="25"/>
      <c r="D507" s="25"/>
      <c r="E507" s="25"/>
      <c r="F507" s="25"/>
      <c r="G507" s="25"/>
      <c r="H507" s="25"/>
    </row>
    <row r="508" spans="1:8" x14ac:dyDescent="0.3">
      <c r="A508" s="25"/>
      <c r="B508" s="25"/>
      <c r="C508" s="25"/>
      <c r="D508" s="25"/>
      <c r="E508" s="25"/>
      <c r="F508" s="25"/>
      <c r="G508" s="25"/>
      <c r="H508" s="25"/>
    </row>
    <row r="509" spans="1:8" x14ac:dyDescent="0.3">
      <c r="A509" s="25"/>
      <c r="B509" s="25"/>
      <c r="C509" s="25"/>
      <c r="D509" s="25"/>
      <c r="E509" s="25"/>
      <c r="F509" s="25"/>
      <c r="G509" s="25"/>
      <c r="H509" s="25"/>
    </row>
    <row r="510" spans="1:8" x14ac:dyDescent="0.3">
      <c r="A510" s="25"/>
      <c r="B510" s="25"/>
      <c r="C510" s="25"/>
      <c r="D510" s="25"/>
      <c r="E510" s="25"/>
      <c r="F510" s="25"/>
      <c r="G510" s="25"/>
      <c r="H510" s="25"/>
    </row>
    <row r="511" spans="1:8" x14ac:dyDescent="0.3">
      <c r="A511" s="25"/>
      <c r="B511" s="25"/>
      <c r="C511" s="25"/>
      <c r="D511" s="25"/>
      <c r="E511" s="25"/>
      <c r="F511" s="25"/>
      <c r="G511" s="25"/>
      <c r="H511" s="25"/>
    </row>
    <row r="512" spans="1:8" x14ac:dyDescent="0.3">
      <c r="A512" s="25"/>
      <c r="B512" s="25"/>
      <c r="C512" s="25"/>
      <c r="D512" s="25"/>
      <c r="E512" s="25"/>
      <c r="F512" s="25"/>
      <c r="G512" s="25"/>
      <c r="H512" s="25"/>
    </row>
    <row r="513" spans="1:8" x14ac:dyDescent="0.3">
      <c r="A513" s="25"/>
      <c r="B513" s="25"/>
      <c r="C513" s="25"/>
      <c r="D513" s="25"/>
      <c r="E513" s="25"/>
      <c r="F513" s="25"/>
      <c r="G513" s="25"/>
      <c r="H513" s="25"/>
    </row>
    <row r="514" spans="1:8" x14ac:dyDescent="0.3">
      <c r="A514" s="25"/>
      <c r="B514" s="25"/>
      <c r="C514" s="25"/>
      <c r="D514" s="25"/>
      <c r="E514" s="25"/>
      <c r="F514" s="25"/>
      <c r="G514" s="25"/>
      <c r="H514" s="25"/>
    </row>
    <row r="515" spans="1:8" x14ac:dyDescent="0.3">
      <c r="A515" s="25"/>
      <c r="B515" s="25"/>
      <c r="C515" s="25"/>
      <c r="D515" s="25"/>
      <c r="E515" s="25"/>
      <c r="F515" s="25"/>
      <c r="G515" s="25"/>
      <c r="H515" s="25"/>
    </row>
    <row r="516" spans="1:8" x14ac:dyDescent="0.3">
      <c r="A516" s="25"/>
      <c r="B516" s="25"/>
      <c r="C516" s="25"/>
      <c r="D516" s="25"/>
      <c r="E516" s="25"/>
      <c r="F516" s="25"/>
      <c r="G516" s="25"/>
      <c r="H516" s="25"/>
    </row>
    <row r="517" spans="1:8" x14ac:dyDescent="0.3">
      <c r="A517" s="25"/>
      <c r="B517" s="25"/>
      <c r="C517" s="25"/>
      <c r="D517" s="25"/>
      <c r="E517" s="25"/>
      <c r="F517" s="25"/>
      <c r="G517" s="25"/>
      <c r="H517" s="25"/>
    </row>
    <row r="518" spans="1:8" x14ac:dyDescent="0.3">
      <c r="A518" s="25"/>
      <c r="B518" s="25"/>
      <c r="C518" s="25"/>
      <c r="D518" s="25"/>
      <c r="E518" s="25"/>
      <c r="F518" s="25"/>
      <c r="G518" s="25"/>
      <c r="H518" s="25"/>
    </row>
    <row r="519" spans="1:8" x14ac:dyDescent="0.3">
      <c r="A519" s="25"/>
      <c r="B519" s="25"/>
      <c r="C519" s="25"/>
      <c r="D519" s="25"/>
      <c r="E519" s="25"/>
      <c r="F519" s="25"/>
      <c r="G519" s="25"/>
      <c r="H519" s="25"/>
    </row>
    <row r="520" spans="1:8" x14ac:dyDescent="0.3">
      <c r="A520" s="25"/>
      <c r="B520" s="25"/>
      <c r="C520" s="25"/>
      <c r="D520" s="25"/>
      <c r="E520" s="25"/>
      <c r="F520" s="25"/>
      <c r="G520" s="25"/>
      <c r="H520" s="25"/>
    </row>
    <row r="521" spans="1:8" x14ac:dyDescent="0.3">
      <c r="A521" s="25"/>
      <c r="B521" s="25"/>
      <c r="C521" s="25"/>
      <c r="D521" s="25"/>
      <c r="E521" s="25"/>
      <c r="F521" s="25"/>
      <c r="G521" s="25"/>
      <c r="H521" s="25"/>
    </row>
    <row r="522" spans="1:8" x14ac:dyDescent="0.3">
      <c r="A522" s="25"/>
      <c r="B522" s="25"/>
      <c r="C522" s="25"/>
      <c r="D522" s="25"/>
      <c r="E522" s="25"/>
      <c r="F522" s="25"/>
      <c r="G522" s="25"/>
      <c r="H522" s="25"/>
    </row>
    <row r="523" spans="1:8" x14ac:dyDescent="0.3">
      <c r="A523" s="25"/>
      <c r="B523" s="25"/>
      <c r="C523" s="25"/>
      <c r="D523" s="25"/>
      <c r="E523" s="25"/>
      <c r="F523" s="25"/>
      <c r="G523" s="25"/>
      <c r="H523" s="25"/>
    </row>
    <row r="524" spans="1:8" x14ac:dyDescent="0.3">
      <c r="A524" s="25"/>
      <c r="B524" s="25"/>
      <c r="C524" s="25"/>
      <c r="D524" s="25"/>
      <c r="E524" s="25"/>
      <c r="F524" s="25"/>
      <c r="G524" s="25"/>
      <c r="H524" s="25"/>
    </row>
    <row r="525" spans="1:8" x14ac:dyDescent="0.3">
      <c r="A525" s="25"/>
      <c r="B525" s="25"/>
      <c r="C525" s="25"/>
      <c r="D525" s="25"/>
      <c r="E525" s="25"/>
      <c r="F525" s="25"/>
      <c r="G525" s="25"/>
      <c r="H525" s="25"/>
    </row>
    <row r="526" spans="1:8" x14ac:dyDescent="0.3">
      <c r="A526" s="25"/>
      <c r="B526" s="25"/>
      <c r="C526" s="25"/>
      <c r="D526" s="25"/>
      <c r="E526" s="25"/>
      <c r="F526" s="25"/>
      <c r="G526" s="25"/>
      <c r="H526" s="25"/>
    </row>
    <row r="527" spans="1:8" x14ac:dyDescent="0.3">
      <c r="A527" s="25"/>
      <c r="B527" s="25"/>
      <c r="C527" s="25"/>
      <c r="D527" s="25"/>
      <c r="E527" s="25"/>
      <c r="F527" s="25"/>
      <c r="G527" s="25"/>
      <c r="H527" s="25"/>
    </row>
    <row r="528" spans="1:8" x14ac:dyDescent="0.3">
      <c r="A528" s="25"/>
      <c r="B528" s="25"/>
      <c r="C528" s="25"/>
      <c r="D528" s="25"/>
      <c r="E528" s="25"/>
      <c r="F528" s="25"/>
      <c r="G528" s="25"/>
      <c r="H528" s="25"/>
    </row>
    <row r="529" spans="1:8" x14ac:dyDescent="0.3">
      <c r="A529" s="25"/>
      <c r="B529" s="25"/>
      <c r="C529" s="25"/>
      <c r="D529" s="25"/>
      <c r="E529" s="25"/>
      <c r="F529" s="25"/>
      <c r="G529" s="25"/>
      <c r="H529" s="25"/>
    </row>
    <row r="530" spans="1:8" x14ac:dyDescent="0.3">
      <c r="A530" s="25"/>
      <c r="B530" s="25"/>
      <c r="C530" s="25"/>
      <c r="D530" s="25"/>
      <c r="E530" s="25"/>
      <c r="F530" s="25"/>
      <c r="G530" s="25"/>
      <c r="H530" s="25"/>
    </row>
    <row r="531" spans="1:8" x14ac:dyDescent="0.3">
      <c r="A531" s="25"/>
      <c r="B531" s="25"/>
      <c r="C531" s="25"/>
      <c r="D531" s="25"/>
      <c r="E531" s="25"/>
      <c r="F531" s="25"/>
      <c r="G531" s="25"/>
      <c r="H531" s="25"/>
    </row>
    <row r="532" spans="1:8" x14ac:dyDescent="0.3">
      <c r="A532" s="25"/>
      <c r="B532" s="25"/>
      <c r="C532" s="25"/>
      <c r="D532" s="25"/>
      <c r="E532" s="25"/>
      <c r="F532" s="25"/>
      <c r="G532" s="25"/>
      <c r="H532" s="25"/>
    </row>
    <row r="533" spans="1:8" x14ac:dyDescent="0.3">
      <c r="A533" s="25"/>
      <c r="B533" s="25"/>
      <c r="C533" s="25"/>
      <c r="D533" s="25"/>
      <c r="E533" s="25"/>
      <c r="F533" s="25"/>
      <c r="G533" s="25"/>
      <c r="H533" s="25"/>
    </row>
    <row r="534" spans="1:8" x14ac:dyDescent="0.3">
      <c r="A534" s="25"/>
      <c r="B534" s="25"/>
      <c r="C534" s="25"/>
      <c r="D534" s="25"/>
      <c r="E534" s="25"/>
      <c r="F534" s="25"/>
      <c r="G534" s="25"/>
      <c r="H534" s="25"/>
    </row>
    <row r="535" spans="1:8" x14ac:dyDescent="0.3">
      <c r="A535" s="25"/>
      <c r="B535" s="25"/>
      <c r="C535" s="25"/>
      <c r="D535" s="25"/>
      <c r="E535" s="25"/>
      <c r="F535" s="25"/>
      <c r="G535" s="25"/>
      <c r="H535" s="25"/>
    </row>
    <row r="536" spans="1:8" x14ac:dyDescent="0.3">
      <c r="A536" s="25"/>
      <c r="B536" s="25"/>
      <c r="C536" s="25"/>
      <c r="D536" s="25"/>
      <c r="E536" s="25"/>
      <c r="F536" s="25"/>
      <c r="G536" s="25"/>
      <c r="H536" s="25"/>
    </row>
    <row r="537" spans="1:8" x14ac:dyDescent="0.3">
      <c r="A537" s="25"/>
      <c r="B537" s="25"/>
      <c r="C537" s="25"/>
      <c r="D537" s="25"/>
      <c r="E537" s="25"/>
      <c r="F537" s="25"/>
      <c r="G537" s="25"/>
      <c r="H537" s="25"/>
    </row>
    <row r="538" spans="1:8" x14ac:dyDescent="0.3">
      <c r="A538" s="25"/>
      <c r="B538" s="25"/>
      <c r="C538" s="25"/>
      <c r="D538" s="25"/>
      <c r="E538" s="25"/>
      <c r="F538" s="25"/>
      <c r="G538" s="25"/>
      <c r="H538" s="25"/>
    </row>
    <row r="539" spans="1:8" x14ac:dyDescent="0.3">
      <c r="A539" s="25"/>
      <c r="B539" s="25"/>
      <c r="C539" s="25"/>
      <c r="D539" s="25"/>
      <c r="E539" s="25"/>
      <c r="F539" s="25"/>
      <c r="G539" s="25"/>
      <c r="H539" s="25"/>
    </row>
    <row r="540" spans="1:8" x14ac:dyDescent="0.3">
      <c r="A540" s="25"/>
      <c r="B540" s="25"/>
      <c r="C540" s="25"/>
      <c r="D540" s="25"/>
      <c r="E540" s="25"/>
      <c r="F540" s="25"/>
      <c r="G540" s="25"/>
      <c r="H540" s="25"/>
    </row>
    <row r="541" spans="1:8" x14ac:dyDescent="0.3">
      <c r="A541" s="25"/>
      <c r="B541" s="25"/>
      <c r="C541" s="25"/>
      <c r="D541" s="25"/>
      <c r="E541" s="25"/>
      <c r="F541" s="25"/>
      <c r="G541" s="25"/>
      <c r="H541" s="25"/>
    </row>
    <row r="542" spans="1:8" x14ac:dyDescent="0.3">
      <c r="A542" s="25"/>
      <c r="B542" s="25"/>
      <c r="C542" s="25"/>
      <c r="D542" s="25"/>
      <c r="E542" s="25"/>
      <c r="F542" s="25"/>
      <c r="G542" s="25"/>
      <c r="H542" s="25"/>
    </row>
    <row r="543" spans="1:8" x14ac:dyDescent="0.3">
      <c r="A543" s="25"/>
      <c r="B543" s="25"/>
      <c r="C543" s="25"/>
      <c r="D543" s="25"/>
      <c r="E543" s="25"/>
      <c r="F543" s="25"/>
      <c r="G543" s="25"/>
      <c r="H543" s="25"/>
    </row>
    <row r="544" spans="1:8" x14ac:dyDescent="0.3">
      <c r="A544" s="25"/>
      <c r="B544" s="25"/>
      <c r="C544" s="25"/>
      <c r="D544" s="25"/>
      <c r="E544" s="25"/>
      <c r="F544" s="25"/>
      <c r="G544" s="25"/>
      <c r="H544" s="25"/>
    </row>
    <row r="545" spans="1:8" x14ac:dyDescent="0.3">
      <c r="A545" s="25"/>
      <c r="B545" s="25"/>
      <c r="C545" s="25"/>
      <c r="D545" s="25"/>
      <c r="E545" s="25"/>
      <c r="F545" s="25"/>
      <c r="G545" s="25"/>
      <c r="H545" s="25"/>
    </row>
    <row r="546" spans="1:8" x14ac:dyDescent="0.3">
      <c r="A546" s="25"/>
      <c r="B546" s="25"/>
      <c r="C546" s="25"/>
      <c r="D546" s="25"/>
      <c r="E546" s="25"/>
      <c r="F546" s="25"/>
      <c r="G546" s="25"/>
      <c r="H546" s="25"/>
    </row>
    <row r="547" spans="1:8" x14ac:dyDescent="0.3">
      <c r="A547" s="25"/>
      <c r="B547" s="25"/>
      <c r="C547" s="25"/>
      <c r="D547" s="25"/>
      <c r="E547" s="25"/>
      <c r="F547" s="25"/>
      <c r="G547" s="25"/>
      <c r="H547" s="25"/>
    </row>
    <row r="548" spans="1:8" x14ac:dyDescent="0.3">
      <c r="A548" s="25"/>
      <c r="B548" s="25"/>
      <c r="C548" s="25"/>
      <c r="D548" s="25"/>
      <c r="E548" s="25"/>
      <c r="F548" s="25"/>
      <c r="G548" s="25"/>
      <c r="H548" s="25"/>
    </row>
    <row r="549" spans="1:8" x14ac:dyDescent="0.3">
      <c r="A549" s="25"/>
      <c r="B549" s="25"/>
      <c r="C549" s="25"/>
      <c r="D549" s="25"/>
      <c r="E549" s="25"/>
      <c r="F549" s="25"/>
      <c r="G549" s="25"/>
      <c r="H549" s="25"/>
    </row>
    <row r="550" spans="1:8" x14ac:dyDescent="0.3">
      <c r="A550" s="25"/>
      <c r="B550" s="25"/>
      <c r="C550" s="25"/>
      <c r="D550" s="25"/>
      <c r="E550" s="25"/>
      <c r="F550" s="25"/>
      <c r="G550" s="25"/>
      <c r="H550" s="25"/>
    </row>
    <row r="551" spans="1:8" x14ac:dyDescent="0.3">
      <c r="A551" s="25"/>
      <c r="B551" s="25"/>
      <c r="C551" s="25"/>
      <c r="D551" s="25"/>
      <c r="E551" s="25"/>
      <c r="F551" s="25"/>
      <c r="G551" s="25"/>
      <c r="H551" s="25"/>
    </row>
    <row r="552" spans="1:8" x14ac:dyDescent="0.3">
      <c r="A552" s="25"/>
      <c r="B552" s="25"/>
      <c r="C552" s="25"/>
      <c r="D552" s="25"/>
      <c r="E552" s="25"/>
      <c r="F552" s="25"/>
      <c r="G552" s="25"/>
      <c r="H552" s="25"/>
    </row>
    <row r="553" spans="1:8" x14ac:dyDescent="0.3">
      <c r="A553" s="25"/>
      <c r="B553" s="25"/>
      <c r="C553" s="25"/>
      <c r="D553" s="25"/>
      <c r="E553" s="25"/>
      <c r="F553" s="25"/>
      <c r="G553" s="25"/>
      <c r="H553" s="25"/>
    </row>
    <row r="554" spans="1:8" x14ac:dyDescent="0.3">
      <c r="A554" s="25"/>
      <c r="B554" s="25"/>
      <c r="C554" s="25"/>
      <c r="D554" s="25"/>
      <c r="E554" s="25"/>
      <c r="F554" s="25"/>
      <c r="G554" s="25"/>
      <c r="H554" s="25"/>
    </row>
    <row r="555" spans="1:8" x14ac:dyDescent="0.3">
      <c r="A555" s="25"/>
      <c r="B555" s="25"/>
      <c r="C555" s="25"/>
      <c r="D555" s="25"/>
      <c r="E555" s="25"/>
      <c r="F555" s="25"/>
      <c r="G555" s="25"/>
      <c r="H555" s="25"/>
    </row>
    <row r="556" spans="1:8" x14ac:dyDescent="0.3">
      <c r="A556" s="25"/>
      <c r="B556" s="25"/>
      <c r="C556" s="25"/>
      <c r="D556" s="25"/>
      <c r="E556" s="25"/>
      <c r="F556" s="25"/>
      <c r="G556" s="25"/>
      <c r="H556" s="25"/>
    </row>
    <row r="557" spans="1:8" x14ac:dyDescent="0.3">
      <c r="A557" s="25"/>
      <c r="B557" s="25"/>
      <c r="C557" s="25"/>
      <c r="D557" s="25"/>
      <c r="E557" s="25"/>
      <c r="F557" s="25"/>
      <c r="G557" s="25"/>
      <c r="H557" s="25"/>
    </row>
    <row r="558" spans="1:8" x14ac:dyDescent="0.3">
      <c r="A558" s="25"/>
      <c r="B558" s="25"/>
      <c r="C558" s="25"/>
      <c r="D558" s="25"/>
      <c r="E558" s="25"/>
      <c r="F558" s="25"/>
      <c r="G558" s="25"/>
      <c r="H558" s="25"/>
    </row>
    <row r="559" spans="1:8" x14ac:dyDescent="0.3">
      <c r="A559" s="25"/>
      <c r="B559" s="25"/>
      <c r="C559" s="25"/>
      <c r="D559" s="25"/>
      <c r="E559" s="25"/>
      <c r="F559" s="25"/>
      <c r="G559" s="25"/>
      <c r="H559" s="25"/>
    </row>
    <row r="560" spans="1:8" x14ac:dyDescent="0.3">
      <c r="A560" s="25"/>
      <c r="B560" s="25"/>
      <c r="C560" s="25"/>
      <c r="D560" s="25"/>
      <c r="E560" s="25"/>
      <c r="F560" s="25"/>
      <c r="G560" s="25"/>
      <c r="H560" s="25"/>
    </row>
    <row r="561" spans="1:8" x14ac:dyDescent="0.3">
      <c r="A561" s="25"/>
      <c r="B561" s="25"/>
      <c r="C561" s="25"/>
      <c r="D561" s="25"/>
      <c r="E561" s="25"/>
      <c r="F561" s="25"/>
      <c r="G561" s="25"/>
      <c r="H561" s="25"/>
    </row>
    <row r="562" spans="1:8" x14ac:dyDescent="0.3">
      <c r="A562" s="25"/>
      <c r="B562" s="25"/>
      <c r="C562" s="25"/>
      <c r="D562" s="25"/>
      <c r="E562" s="25"/>
      <c r="F562" s="25"/>
      <c r="G562" s="25"/>
      <c r="H562" s="25"/>
    </row>
    <row r="563" spans="1:8" x14ac:dyDescent="0.3">
      <c r="A563" s="25"/>
      <c r="B563" s="25"/>
      <c r="C563" s="25"/>
      <c r="D563" s="25"/>
      <c r="E563" s="25"/>
      <c r="F563" s="25"/>
      <c r="G563" s="25"/>
      <c r="H563" s="25"/>
    </row>
    <row r="564" spans="1:8" x14ac:dyDescent="0.3">
      <c r="A564" s="25"/>
      <c r="B564" s="25"/>
      <c r="C564" s="25"/>
      <c r="D564" s="25"/>
      <c r="E564" s="25"/>
      <c r="F564" s="25"/>
      <c r="G564" s="25"/>
      <c r="H564" s="25"/>
    </row>
    <row r="565" spans="1:8" x14ac:dyDescent="0.3">
      <c r="A565" s="25"/>
      <c r="B565" s="25"/>
      <c r="C565" s="25"/>
      <c r="D565" s="25"/>
      <c r="E565" s="25"/>
      <c r="F565" s="25"/>
      <c r="G565" s="25"/>
      <c r="H565" s="25"/>
    </row>
    <row r="566" spans="1:8" x14ac:dyDescent="0.3">
      <c r="A566" s="25"/>
      <c r="B566" s="25"/>
      <c r="C566" s="25"/>
      <c r="D566" s="25"/>
      <c r="E566" s="25"/>
      <c r="F566" s="25"/>
      <c r="G566" s="25"/>
      <c r="H566" s="25"/>
    </row>
    <row r="567" spans="1:8" x14ac:dyDescent="0.3">
      <c r="A567" s="25"/>
      <c r="B567" s="25"/>
      <c r="C567" s="25"/>
      <c r="D567" s="25"/>
      <c r="E567" s="25"/>
      <c r="F567" s="25"/>
      <c r="G567" s="25"/>
      <c r="H567" s="25"/>
    </row>
    <row r="568" spans="1:8" x14ac:dyDescent="0.3">
      <c r="A568" s="25"/>
      <c r="B568" s="25"/>
      <c r="C568" s="25"/>
      <c r="D568" s="25"/>
      <c r="E568" s="25"/>
      <c r="F568" s="25"/>
      <c r="G568" s="25"/>
      <c r="H568" s="25"/>
    </row>
    <row r="569" spans="1:8" x14ac:dyDescent="0.3">
      <c r="A569" s="25"/>
      <c r="B569" s="25"/>
      <c r="C569" s="25"/>
      <c r="D569" s="25"/>
      <c r="E569" s="25"/>
      <c r="F569" s="25"/>
      <c r="G569" s="25"/>
      <c r="H569" s="25"/>
    </row>
    <row r="570" spans="1:8" x14ac:dyDescent="0.3">
      <c r="A570" s="25"/>
      <c r="B570" s="25"/>
      <c r="C570" s="25"/>
      <c r="D570" s="25"/>
      <c r="E570" s="25"/>
      <c r="F570" s="25"/>
      <c r="G570" s="25"/>
      <c r="H570" s="25"/>
    </row>
    <row r="571" spans="1:8" x14ac:dyDescent="0.3">
      <c r="A571" s="25"/>
      <c r="B571" s="25"/>
      <c r="C571" s="25"/>
      <c r="D571" s="25"/>
      <c r="E571" s="25"/>
      <c r="F571" s="25"/>
      <c r="G571" s="25"/>
      <c r="H571" s="25"/>
    </row>
    <row r="572" spans="1:8" x14ac:dyDescent="0.3">
      <c r="A572" s="25"/>
      <c r="B572" s="25"/>
      <c r="C572" s="25"/>
      <c r="D572" s="25"/>
      <c r="E572" s="25"/>
      <c r="F572" s="25"/>
      <c r="G572" s="25"/>
      <c r="H572" s="25"/>
    </row>
    <row r="573" spans="1:8" x14ac:dyDescent="0.3">
      <c r="A573" s="25"/>
      <c r="B573" s="25"/>
      <c r="C573" s="25"/>
      <c r="D573" s="25"/>
      <c r="E573" s="25"/>
      <c r="F573" s="25"/>
      <c r="G573" s="25"/>
      <c r="H573" s="25"/>
    </row>
    <row r="574" spans="1:8" x14ac:dyDescent="0.3">
      <c r="A574" s="25"/>
      <c r="B574" s="25"/>
      <c r="C574" s="25"/>
      <c r="D574" s="25"/>
      <c r="E574" s="25"/>
      <c r="F574" s="25"/>
      <c r="G574" s="25"/>
      <c r="H574" s="25"/>
    </row>
    <row r="575" spans="1:8" x14ac:dyDescent="0.3">
      <c r="A575" s="25"/>
      <c r="B575" s="25"/>
      <c r="C575" s="25"/>
      <c r="D575" s="25"/>
      <c r="E575" s="25"/>
      <c r="F575" s="25"/>
      <c r="G575" s="25"/>
      <c r="H575" s="25"/>
    </row>
    <row r="576" spans="1:8" x14ac:dyDescent="0.3">
      <c r="A576" s="25"/>
      <c r="B576" s="25"/>
      <c r="C576" s="25"/>
      <c r="D576" s="25"/>
      <c r="E576" s="25"/>
      <c r="F576" s="25"/>
      <c r="G576" s="25"/>
      <c r="H576" s="25"/>
    </row>
    <row r="577" spans="1:8" x14ac:dyDescent="0.3">
      <c r="A577" s="25"/>
      <c r="B577" s="25"/>
      <c r="C577" s="25"/>
      <c r="D577" s="25"/>
      <c r="E577" s="25"/>
      <c r="F577" s="25"/>
      <c r="G577" s="25"/>
      <c r="H577" s="25"/>
    </row>
    <row r="578" spans="1:8" x14ac:dyDescent="0.3">
      <c r="A578" s="25"/>
      <c r="B578" s="25"/>
      <c r="C578" s="25"/>
      <c r="D578" s="25"/>
      <c r="E578" s="25"/>
      <c r="F578" s="25"/>
      <c r="G578" s="25"/>
      <c r="H578" s="25"/>
    </row>
    <row r="579" spans="1:8" x14ac:dyDescent="0.3">
      <c r="A579" s="25"/>
      <c r="B579" s="25"/>
      <c r="C579" s="25"/>
      <c r="D579" s="25"/>
      <c r="E579" s="25"/>
      <c r="F579" s="25"/>
      <c r="G579" s="25"/>
      <c r="H579" s="25"/>
    </row>
    <row r="580" spans="1:8" x14ac:dyDescent="0.3">
      <c r="A580" s="25"/>
      <c r="B580" s="25"/>
      <c r="C580" s="25"/>
      <c r="D580" s="25"/>
      <c r="E580" s="25"/>
      <c r="F580" s="25"/>
      <c r="G580" s="25"/>
      <c r="H580" s="25"/>
    </row>
    <row r="581" spans="1:8" x14ac:dyDescent="0.3">
      <c r="A581" s="25"/>
      <c r="B581" s="25"/>
      <c r="C581" s="25"/>
      <c r="D581" s="25"/>
      <c r="E581" s="25"/>
      <c r="F581" s="25"/>
      <c r="G581" s="25"/>
      <c r="H581" s="25"/>
    </row>
    <row r="582" spans="1:8" x14ac:dyDescent="0.3">
      <c r="A582" s="25"/>
      <c r="B582" s="25"/>
      <c r="C582" s="25"/>
      <c r="D582" s="25"/>
      <c r="E582" s="25"/>
      <c r="F582" s="25"/>
      <c r="G582" s="25"/>
      <c r="H582" s="25"/>
    </row>
    <row r="583" spans="1:8" x14ac:dyDescent="0.3">
      <c r="A583" s="25"/>
      <c r="B583" s="25"/>
      <c r="C583" s="25"/>
      <c r="D583" s="25"/>
      <c r="E583" s="25"/>
      <c r="F583" s="25"/>
      <c r="G583" s="25"/>
      <c r="H583" s="25"/>
    </row>
    <row r="584" spans="1:8" x14ac:dyDescent="0.3">
      <c r="A584" s="25"/>
      <c r="B584" s="25"/>
      <c r="C584" s="25"/>
      <c r="D584" s="25"/>
      <c r="E584" s="25"/>
      <c r="F584" s="25"/>
      <c r="G584" s="25"/>
      <c r="H584" s="25"/>
    </row>
    <row r="585" spans="1:8" x14ac:dyDescent="0.3">
      <c r="A585" s="25"/>
      <c r="B585" s="25"/>
      <c r="C585" s="25"/>
      <c r="D585" s="25"/>
      <c r="E585" s="25"/>
      <c r="F585" s="25"/>
      <c r="G585" s="25"/>
      <c r="H585" s="25"/>
    </row>
    <row r="586" spans="1:8" x14ac:dyDescent="0.3">
      <c r="A586" s="25"/>
      <c r="B586" s="25"/>
      <c r="C586" s="25"/>
      <c r="D586" s="25"/>
      <c r="E586" s="25"/>
      <c r="F586" s="25"/>
      <c r="G586" s="25"/>
      <c r="H586" s="25"/>
    </row>
    <row r="587" spans="1:8" x14ac:dyDescent="0.3">
      <c r="A587" s="25"/>
      <c r="B587" s="25"/>
      <c r="C587" s="25"/>
      <c r="D587" s="25"/>
      <c r="E587" s="25"/>
      <c r="F587" s="25"/>
      <c r="G587" s="25"/>
      <c r="H587" s="25"/>
    </row>
    <row r="588" spans="1:8" x14ac:dyDescent="0.3">
      <c r="A588" s="25"/>
      <c r="B588" s="25"/>
      <c r="C588" s="25"/>
      <c r="D588" s="25"/>
      <c r="E588" s="25"/>
      <c r="F588" s="25"/>
      <c r="G588" s="25"/>
      <c r="H588" s="25"/>
    </row>
    <row r="589" spans="1:8" x14ac:dyDescent="0.3">
      <c r="A589" s="25"/>
      <c r="B589" s="25"/>
      <c r="C589" s="25"/>
      <c r="D589" s="25"/>
      <c r="E589" s="25"/>
      <c r="F589" s="25"/>
      <c r="G589" s="25"/>
      <c r="H589" s="25"/>
    </row>
    <row r="590" spans="1:8" x14ac:dyDescent="0.3">
      <c r="A590" s="25"/>
      <c r="B590" s="25"/>
      <c r="C590" s="25"/>
      <c r="D590" s="25"/>
      <c r="E590" s="25"/>
      <c r="F590" s="25"/>
      <c r="G590" s="25"/>
      <c r="H590" s="25"/>
    </row>
    <row r="591" spans="1:8" x14ac:dyDescent="0.3">
      <c r="A591" s="25"/>
      <c r="B591" s="25"/>
      <c r="C591" s="25"/>
      <c r="D591" s="25"/>
      <c r="E591" s="25"/>
      <c r="F591" s="25"/>
      <c r="G591" s="25"/>
      <c r="H591" s="25"/>
    </row>
    <row r="592" spans="1:8" x14ac:dyDescent="0.3">
      <c r="A592" s="25"/>
      <c r="B592" s="25"/>
      <c r="C592" s="25"/>
      <c r="D592" s="25"/>
      <c r="E592" s="25"/>
      <c r="F592" s="25"/>
      <c r="G592" s="25"/>
      <c r="H592" s="25"/>
    </row>
    <row r="593" spans="1:9" x14ac:dyDescent="0.3">
      <c r="A593" s="25"/>
      <c r="B593" s="25"/>
      <c r="C593" s="25"/>
      <c r="D593" s="25"/>
      <c r="E593" s="25"/>
      <c r="F593" s="25"/>
      <c r="G593" s="25"/>
      <c r="H593" s="25"/>
    </row>
    <row r="594" spans="1:9" x14ac:dyDescent="0.3">
      <c r="A594" s="25"/>
      <c r="B594" s="25"/>
      <c r="C594" s="25"/>
      <c r="D594" s="25"/>
      <c r="E594" s="25"/>
      <c r="F594" s="25"/>
      <c r="G594" s="25"/>
      <c r="H594" s="25"/>
    </row>
    <row r="595" spans="1:9" x14ac:dyDescent="0.3">
      <c r="A595" s="25"/>
      <c r="B595" s="25"/>
      <c r="C595" s="25"/>
      <c r="D595" s="25"/>
      <c r="E595" s="25"/>
      <c r="F595" s="25"/>
      <c r="G595" s="25"/>
      <c r="H595" s="25"/>
      <c r="I595" s="25"/>
    </row>
    <row r="596" spans="1:9" x14ac:dyDescent="0.3">
      <c r="A596" s="25"/>
      <c r="B596" s="25"/>
      <c r="C596" s="25"/>
      <c r="D596" s="25"/>
      <c r="E596" s="25"/>
      <c r="F596" s="25"/>
      <c r="G596" s="25"/>
      <c r="H596" s="25"/>
    </row>
    <row r="597" spans="1:9" x14ac:dyDescent="0.3">
      <c r="A597" s="25"/>
      <c r="B597" s="25"/>
      <c r="C597" s="25"/>
      <c r="D597" s="25"/>
      <c r="E597" s="25"/>
      <c r="F597" s="25"/>
      <c r="G597" s="25"/>
      <c r="H597" s="25"/>
    </row>
    <row r="598" spans="1:9" x14ac:dyDescent="0.3">
      <c r="A598" s="25"/>
      <c r="B598" s="25"/>
      <c r="C598" s="25"/>
      <c r="D598" s="25"/>
      <c r="E598" s="25"/>
      <c r="F598" s="25"/>
      <c r="G598" s="25"/>
      <c r="H598" s="25"/>
    </row>
    <row r="599" spans="1:9" x14ac:dyDescent="0.3">
      <c r="A599" s="25"/>
      <c r="B599" s="25"/>
      <c r="C599" s="25"/>
      <c r="D599" s="25"/>
      <c r="E599" s="25"/>
      <c r="F599" s="25"/>
      <c r="G599" s="25"/>
      <c r="H599" s="25"/>
    </row>
    <row r="600" spans="1:9" x14ac:dyDescent="0.3">
      <c r="A600" s="25"/>
      <c r="B600" s="25"/>
      <c r="C600" s="25"/>
      <c r="D600" s="25"/>
      <c r="E600" s="25"/>
      <c r="F600" s="25"/>
      <c r="G600" s="25"/>
      <c r="H600" s="25"/>
    </row>
    <row r="601" spans="1:9" x14ac:dyDescent="0.3">
      <c r="A601" s="25"/>
      <c r="B601" s="25"/>
      <c r="C601" s="25"/>
      <c r="D601" s="25"/>
      <c r="E601" s="25"/>
      <c r="F601" s="25"/>
      <c r="G601" s="25"/>
      <c r="H601" s="25"/>
    </row>
    <row r="602" spans="1:9" x14ac:dyDescent="0.3">
      <c r="A602" s="25"/>
      <c r="B602" s="25"/>
      <c r="C602" s="25"/>
      <c r="D602" s="25"/>
      <c r="E602" s="25"/>
      <c r="F602" s="25"/>
      <c r="G602" s="25"/>
      <c r="H602" s="25"/>
    </row>
    <row r="603" spans="1:9" x14ac:dyDescent="0.3">
      <c r="A603" s="25"/>
      <c r="B603" s="25"/>
      <c r="C603" s="25"/>
      <c r="D603" s="25"/>
      <c r="E603" s="25"/>
      <c r="F603" s="25"/>
      <c r="G603" s="25"/>
      <c r="H603" s="25"/>
    </row>
    <row r="604" spans="1:9" x14ac:dyDescent="0.3">
      <c r="A604" s="25"/>
      <c r="B604" s="25"/>
      <c r="C604" s="25"/>
      <c r="D604" s="25"/>
      <c r="E604" s="25"/>
      <c r="F604" s="25"/>
      <c r="G604" s="25"/>
      <c r="H604" s="25"/>
    </row>
    <row r="605" spans="1:9" x14ac:dyDescent="0.3">
      <c r="A605" s="25"/>
      <c r="B605" s="25"/>
      <c r="C605" s="25"/>
      <c r="D605" s="25"/>
      <c r="E605" s="25"/>
      <c r="F605" s="25"/>
      <c r="G605" s="25"/>
      <c r="H605" s="25"/>
    </row>
    <row r="606" spans="1:9" x14ac:dyDescent="0.3">
      <c r="A606" s="25"/>
      <c r="B606" s="25"/>
      <c r="C606" s="25"/>
      <c r="D606" s="25"/>
      <c r="E606" s="25"/>
      <c r="F606" s="25"/>
      <c r="G606" s="25"/>
      <c r="H606" s="25"/>
    </row>
    <row r="607" spans="1:9" x14ac:dyDescent="0.3">
      <c r="A607" s="25"/>
      <c r="B607" s="25"/>
      <c r="C607" s="25"/>
      <c r="D607" s="25"/>
      <c r="E607" s="25"/>
      <c r="F607" s="25"/>
      <c r="G607" s="25"/>
      <c r="H607" s="25"/>
    </row>
  </sheetData>
  <phoneticPr fontId="1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ACEA-4424-46E7-88F0-38D072E51704}">
  <dimension ref="A1:T164"/>
  <sheetViews>
    <sheetView workbookViewId="0">
      <selection activeCell="B133" sqref="B133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3">
      <c r="A2">
        <v>1864</v>
      </c>
      <c r="B2">
        <v>-7.1</v>
      </c>
      <c r="C2">
        <v>-4.5199999999999996</v>
      </c>
      <c r="D2">
        <v>0.04</v>
      </c>
      <c r="E2">
        <v>2.1</v>
      </c>
      <c r="F2">
        <v>7.43</v>
      </c>
      <c r="G2">
        <v>9.48</v>
      </c>
      <c r="H2">
        <v>12.37</v>
      </c>
      <c r="I2">
        <v>10.95</v>
      </c>
      <c r="J2">
        <v>8.59</v>
      </c>
      <c r="K2">
        <v>3.51</v>
      </c>
      <c r="L2">
        <v>-0.51</v>
      </c>
      <c r="M2">
        <v>-4.47</v>
      </c>
      <c r="N2" t="s">
        <v>20</v>
      </c>
      <c r="O2">
        <v>3.19</v>
      </c>
      <c r="P2">
        <v>10.93</v>
      </c>
      <c r="Q2">
        <v>3.86</v>
      </c>
      <c r="R2" t="s">
        <v>20</v>
      </c>
      <c r="S2">
        <v>8.49</v>
      </c>
      <c r="T2">
        <v>3.16</v>
      </c>
    </row>
    <row r="3" spans="1:20" hidden="1" x14ac:dyDescent="0.3">
      <c r="A3">
        <v>1865</v>
      </c>
      <c r="B3">
        <v>-3.46</v>
      </c>
      <c r="C3">
        <v>-6.26</v>
      </c>
      <c r="D3">
        <v>-5.91</v>
      </c>
      <c r="E3">
        <v>7.01</v>
      </c>
      <c r="F3">
        <v>10.1</v>
      </c>
      <c r="G3">
        <v>10.98</v>
      </c>
      <c r="H3">
        <v>13.98</v>
      </c>
      <c r="I3">
        <v>11.16</v>
      </c>
      <c r="J3">
        <v>11.89</v>
      </c>
      <c r="K3">
        <v>5.21</v>
      </c>
      <c r="L3">
        <v>1.26</v>
      </c>
      <c r="M3">
        <v>-3.07</v>
      </c>
      <c r="N3">
        <v>-4.7300000000000004</v>
      </c>
      <c r="O3">
        <v>3.73</v>
      </c>
      <c r="P3">
        <v>12.04</v>
      </c>
      <c r="Q3">
        <v>6.12</v>
      </c>
      <c r="R3">
        <v>-2.85</v>
      </c>
      <c r="S3">
        <v>10.85</v>
      </c>
      <c r="T3">
        <v>4.41</v>
      </c>
    </row>
    <row r="4" spans="1:20" hidden="1" x14ac:dyDescent="0.3">
      <c r="A4">
        <v>1866</v>
      </c>
      <c r="B4">
        <v>-1.31</v>
      </c>
      <c r="C4">
        <v>-0.42</v>
      </c>
      <c r="D4">
        <v>-1</v>
      </c>
      <c r="E4">
        <v>4.0999999999999996</v>
      </c>
      <c r="F4">
        <v>4.96</v>
      </c>
      <c r="G4">
        <v>12.02</v>
      </c>
      <c r="H4">
        <v>12.25</v>
      </c>
      <c r="I4">
        <v>9.99</v>
      </c>
      <c r="J4">
        <v>9.69</v>
      </c>
      <c r="K4">
        <v>5.35</v>
      </c>
      <c r="L4">
        <v>-0.2</v>
      </c>
      <c r="M4">
        <v>-0.49</v>
      </c>
      <c r="N4">
        <v>-1.6</v>
      </c>
      <c r="O4">
        <v>2.68</v>
      </c>
      <c r="P4">
        <v>11.42</v>
      </c>
      <c r="Q4">
        <v>4.95</v>
      </c>
      <c r="R4">
        <v>0.11</v>
      </c>
      <c r="S4">
        <v>8.83</v>
      </c>
      <c r="T4">
        <v>4.58</v>
      </c>
    </row>
    <row r="5" spans="1:20" hidden="1" x14ac:dyDescent="0.3">
      <c r="A5">
        <v>1867</v>
      </c>
      <c r="B5">
        <v>-3.87</v>
      </c>
      <c r="C5">
        <v>0.55000000000000004</v>
      </c>
      <c r="D5">
        <v>-0.13</v>
      </c>
      <c r="E5">
        <v>3.48</v>
      </c>
      <c r="F5">
        <v>7.74</v>
      </c>
      <c r="G5">
        <v>10.57</v>
      </c>
      <c r="H5">
        <v>11.29</v>
      </c>
      <c r="I5">
        <v>12.94</v>
      </c>
      <c r="J5">
        <v>10.42</v>
      </c>
      <c r="K5">
        <v>2.93</v>
      </c>
      <c r="L5">
        <v>-1.43</v>
      </c>
      <c r="M5">
        <v>-5.8</v>
      </c>
      <c r="N5">
        <v>-1.27</v>
      </c>
      <c r="O5">
        <v>3.69</v>
      </c>
      <c r="P5">
        <v>11.6</v>
      </c>
      <c r="Q5">
        <v>3.97</v>
      </c>
      <c r="R5">
        <v>0.2</v>
      </c>
      <c r="S5">
        <v>9.41</v>
      </c>
      <c r="T5">
        <v>4.0599999999999996</v>
      </c>
    </row>
    <row r="6" spans="1:20" hidden="1" x14ac:dyDescent="0.3">
      <c r="A6">
        <v>1868</v>
      </c>
      <c r="B6">
        <v>-5.46</v>
      </c>
      <c r="C6">
        <v>-1.54</v>
      </c>
      <c r="D6">
        <v>-2.2999999999999998</v>
      </c>
      <c r="E6">
        <v>2.3199999999999998</v>
      </c>
      <c r="F6">
        <v>12.04</v>
      </c>
      <c r="G6">
        <v>11.96</v>
      </c>
      <c r="H6">
        <v>12.88</v>
      </c>
      <c r="I6">
        <v>12.5</v>
      </c>
      <c r="J6">
        <v>11.12</v>
      </c>
      <c r="K6">
        <v>4.78</v>
      </c>
      <c r="L6">
        <v>-1.99</v>
      </c>
      <c r="M6">
        <v>1.27</v>
      </c>
      <c r="N6">
        <v>-4.26</v>
      </c>
      <c r="O6">
        <v>4.0199999999999996</v>
      </c>
      <c r="P6">
        <v>12.45</v>
      </c>
      <c r="Q6">
        <v>4.63</v>
      </c>
      <c r="R6">
        <v>-2.27</v>
      </c>
      <c r="S6">
        <v>10.47</v>
      </c>
      <c r="T6">
        <v>4.8</v>
      </c>
    </row>
    <row r="7" spans="1:20" hidden="1" x14ac:dyDescent="0.3">
      <c r="A7">
        <v>1869</v>
      </c>
      <c r="B7">
        <v>-4.6100000000000003</v>
      </c>
      <c r="C7">
        <v>1.27</v>
      </c>
      <c r="D7">
        <v>-4.25</v>
      </c>
      <c r="E7">
        <v>4.5199999999999996</v>
      </c>
      <c r="F7">
        <v>8.92</v>
      </c>
      <c r="G7">
        <v>8.26</v>
      </c>
      <c r="H7">
        <v>14.81</v>
      </c>
      <c r="I7">
        <v>10.87</v>
      </c>
      <c r="J7">
        <v>10.34</v>
      </c>
      <c r="K7">
        <v>2.3199999999999998</v>
      </c>
      <c r="L7">
        <v>0.08</v>
      </c>
      <c r="M7">
        <v>-4.18</v>
      </c>
      <c r="N7">
        <v>-0.69</v>
      </c>
      <c r="O7">
        <v>3.06</v>
      </c>
      <c r="P7">
        <v>11.31</v>
      </c>
      <c r="Q7">
        <v>4.25</v>
      </c>
      <c r="R7">
        <v>-0.59</v>
      </c>
      <c r="S7">
        <v>9.6199999999999992</v>
      </c>
      <c r="T7">
        <v>4.03</v>
      </c>
    </row>
    <row r="8" spans="1:20" hidden="1" x14ac:dyDescent="0.3">
      <c r="A8">
        <v>1870</v>
      </c>
      <c r="B8">
        <v>-5.46</v>
      </c>
      <c r="C8">
        <v>-4.2300000000000004</v>
      </c>
      <c r="D8">
        <v>-2.59</v>
      </c>
      <c r="E8">
        <v>2.79</v>
      </c>
      <c r="F8">
        <v>8.9</v>
      </c>
      <c r="G8">
        <v>11.41</v>
      </c>
      <c r="H8">
        <v>14.39</v>
      </c>
      <c r="I8">
        <v>9.84</v>
      </c>
      <c r="J8">
        <v>8.16</v>
      </c>
      <c r="K8">
        <v>4.07</v>
      </c>
      <c r="L8">
        <v>-0.15</v>
      </c>
      <c r="M8">
        <v>-6.81</v>
      </c>
      <c r="N8">
        <v>-4.62</v>
      </c>
      <c r="O8">
        <v>3.03</v>
      </c>
      <c r="P8">
        <v>11.88</v>
      </c>
      <c r="Q8">
        <v>4.03</v>
      </c>
      <c r="R8">
        <v>-2.34</v>
      </c>
      <c r="S8">
        <v>9.25</v>
      </c>
      <c r="T8">
        <v>3.36</v>
      </c>
    </row>
    <row r="9" spans="1:20" hidden="1" x14ac:dyDescent="0.3">
      <c r="A9">
        <v>1871</v>
      </c>
      <c r="B9">
        <v>-7.81</v>
      </c>
      <c r="C9">
        <v>-1.97</v>
      </c>
      <c r="D9">
        <v>0.02</v>
      </c>
      <c r="E9">
        <v>3.52</v>
      </c>
      <c r="F9">
        <v>6.66</v>
      </c>
      <c r="G9">
        <v>7.26</v>
      </c>
      <c r="H9">
        <v>13.13</v>
      </c>
      <c r="I9">
        <v>12.61</v>
      </c>
      <c r="J9">
        <v>11.33</v>
      </c>
      <c r="K9">
        <v>3.32</v>
      </c>
      <c r="L9">
        <v>-2.86</v>
      </c>
      <c r="M9">
        <v>-8.3000000000000007</v>
      </c>
      <c r="N9">
        <v>-5.53</v>
      </c>
      <c r="O9">
        <v>3.4</v>
      </c>
      <c r="P9">
        <v>11</v>
      </c>
      <c r="Q9">
        <v>3.93</v>
      </c>
      <c r="R9">
        <v>-2.11</v>
      </c>
      <c r="S9">
        <v>9.09</v>
      </c>
      <c r="T9">
        <v>3.08</v>
      </c>
    </row>
    <row r="10" spans="1:20" hidden="1" x14ac:dyDescent="0.3">
      <c r="A10">
        <v>1872</v>
      </c>
      <c r="B10">
        <v>-3.22</v>
      </c>
      <c r="C10">
        <v>-2.09</v>
      </c>
      <c r="D10">
        <v>0.47</v>
      </c>
      <c r="E10">
        <v>3.94</v>
      </c>
      <c r="F10">
        <v>6.07</v>
      </c>
      <c r="G10">
        <v>10.07</v>
      </c>
      <c r="H10">
        <v>13.45</v>
      </c>
      <c r="I10">
        <v>10.88</v>
      </c>
      <c r="J10">
        <v>10.18</v>
      </c>
      <c r="K10">
        <v>5.34</v>
      </c>
      <c r="L10">
        <v>1.77</v>
      </c>
      <c r="M10">
        <v>-0.77</v>
      </c>
      <c r="N10">
        <v>-4.54</v>
      </c>
      <c r="O10">
        <v>3.49</v>
      </c>
      <c r="P10">
        <v>11.47</v>
      </c>
      <c r="Q10">
        <v>5.76</v>
      </c>
      <c r="R10">
        <v>-2.11</v>
      </c>
      <c r="S10">
        <v>9.1</v>
      </c>
      <c r="T10">
        <v>4.67</v>
      </c>
    </row>
    <row r="11" spans="1:20" hidden="1" x14ac:dyDescent="0.3">
      <c r="A11">
        <v>1873</v>
      </c>
      <c r="B11">
        <v>-2.1800000000000002</v>
      </c>
      <c r="C11">
        <v>-3.85</v>
      </c>
      <c r="D11">
        <v>1.66</v>
      </c>
      <c r="E11">
        <v>1.61</v>
      </c>
      <c r="F11">
        <v>5.1100000000000003</v>
      </c>
      <c r="G11">
        <v>10.53</v>
      </c>
      <c r="H11">
        <v>14.52</v>
      </c>
      <c r="I11">
        <v>13.55</v>
      </c>
      <c r="J11">
        <v>8.67</v>
      </c>
      <c r="K11">
        <v>5.47</v>
      </c>
      <c r="L11">
        <v>0.65</v>
      </c>
      <c r="M11">
        <v>-2.87</v>
      </c>
      <c r="N11">
        <v>-2.27</v>
      </c>
      <c r="O11">
        <v>2.79</v>
      </c>
      <c r="P11">
        <v>12.87</v>
      </c>
      <c r="Q11">
        <v>4.93</v>
      </c>
      <c r="R11">
        <v>0.33</v>
      </c>
      <c r="S11">
        <v>9</v>
      </c>
      <c r="T11">
        <v>4.4000000000000004</v>
      </c>
    </row>
    <row r="12" spans="1:20" hidden="1" x14ac:dyDescent="0.3">
      <c r="A12">
        <v>1874</v>
      </c>
      <c r="B12">
        <v>-3.14</v>
      </c>
      <c r="C12">
        <v>-4.07</v>
      </c>
      <c r="D12">
        <v>-1.28</v>
      </c>
      <c r="E12">
        <v>4.58</v>
      </c>
      <c r="F12">
        <v>3.97</v>
      </c>
      <c r="G12">
        <v>11.29</v>
      </c>
      <c r="H12">
        <v>15.01</v>
      </c>
      <c r="I12">
        <v>10.91</v>
      </c>
      <c r="J12">
        <v>10.99</v>
      </c>
      <c r="K12">
        <v>5.72</v>
      </c>
      <c r="L12">
        <v>-2.12</v>
      </c>
      <c r="M12">
        <v>-6.34</v>
      </c>
      <c r="N12">
        <v>-3.36</v>
      </c>
      <c r="O12">
        <v>2.42</v>
      </c>
      <c r="P12">
        <v>12.4</v>
      </c>
      <c r="Q12">
        <v>4.8600000000000003</v>
      </c>
      <c r="R12">
        <v>-0.88</v>
      </c>
      <c r="S12">
        <v>9.4600000000000009</v>
      </c>
      <c r="T12">
        <v>3.79</v>
      </c>
    </row>
    <row r="13" spans="1:20" hidden="1" x14ac:dyDescent="0.3">
      <c r="A13">
        <v>1875</v>
      </c>
      <c r="B13">
        <v>-1.76</v>
      </c>
      <c r="C13">
        <v>-6.47</v>
      </c>
      <c r="D13">
        <v>-2.13</v>
      </c>
      <c r="E13">
        <v>2.89</v>
      </c>
      <c r="F13">
        <v>9.5</v>
      </c>
      <c r="G13">
        <v>11.38</v>
      </c>
      <c r="H13">
        <v>11.44</v>
      </c>
      <c r="I13">
        <v>13.57</v>
      </c>
      <c r="J13">
        <v>10.64</v>
      </c>
      <c r="K13">
        <v>3.81</v>
      </c>
      <c r="L13">
        <v>-1.1499999999999999</v>
      </c>
      <c r="M13">
        <v>-5.52</v>
      </c>
      <c r="N13">
        <v>-4.8600000000000003</v>
      </c>
      <c r="O13">
        <v>3.42</v>
      </c>
      <c r="P13">
        <v>12.13</v>
      </c>
      <c r="Q13">
        <v>4.43</v>
      </c>
      <c r="R13">
        <v>-2.1800000000000002</v>
      </c>
      <c r="S13">
        <v>9.9</v>
      </c>
      <c r="T13">
        <v>3.85</v>
      </c>
    </row>
    <row r="14" spans="1:20" hidden="1" x14ac:dyDescent="0.3">
      <c r="A14">
        <v>1876</v>
      </c>
      <c r="B14">
        <v>-4.41</v>
      </c>
      <c r="C14">
        <v>-2.37</v>
      </c>
      <c r="D14">
        <v>-0.87</v>
      </c>
      <c r="E14">
        <v>2.91</v>
      </c>
      <c r="F14">
        <v>4.42</v>
      </c>
      <c r="G14">
        <v>10.53</v>
      </c>
      <c r="H14">
        <v>13.58</v>
      </c>
      <c r="I14">
        <v>13.1</v>
      </c>
      <c r="J14">
        <v>7.9</v>
      </c>
      <c r="K14">
        <v>7.26</v>
      </c>
      <c r="L14">
        <v>-1.2</v>
      </c>
      <c r="M14">
        <v>-0.08</v>
      </c>
      <c r="N14">
        <v>-4.0999999999999996</v>
      </c>
      <c r="O14">
        <v>2.15</v>
      </c>
      <c r="P14">
        <v>12.4</v>
      </c>
      <c r="Q14">
        <v>4.66</v>
      </c>
      <c r="R14">
        <v>-1.75</v>
      </c>
      <c r="S14">
        <v>8.74</v>
      </c>
      <c r="T14">
        <v>4.2300000000000004</v>
      </c>
    </row>
    <row r="15" spans="1:20" hidden="1" x14ac:dyDescent="0.3">
      <c r="A15">
        <v>1877</v>
      </c>
      <c r="B15">
        <v>-1.64</v>
      </c>
      <c r="C15">
        <v>-1.79</v>
      </c>
      <c r="D15">
        <v>-2.31</v>
      </c>
      <c r="E15">
        <v>2.5499999999999998</v>
      </c>
      <c r="F15">
        <v>4.9400000000000004</v>
      </c>
      <c r="G15">
        <v>13.39</v>
      </c>
      <c r="H15">
        <v>11.83</v>
      </c>
      <c r="I15">
        <v>13.51</v>
      </c>
      <c r="J15">
        <v>7.29</v>
      </c>
      <c r="K15">
        <v>2.71</v>
      </c>
      <c r="L15">
        <v>1.71</v>
      </c>
      <c r="M15">
        <v>-3.45</v>
      </c>
      <c r="N15">
        <v>-1.17</v>
      </c>
      <c r="O15">
        <v>1.73</v>
      </c>
      <c r="P15">
        <v>12.91</v>
      </c>
      <c r="Q15">
        <v>3.9</v>
      </c>
      <c r="R15">
        <v>0.04</v>
      </c>
      <c r="S15">
        <v>8.92</v>
      </c>
      <c r="T15">
        <v>4.0599999999999996</v>
      </c>
    </row>
    <row r="16" spans="1:20" hidden="1" x14ac:dyDescent="0.3">
      <c r="A16">
        <v>1878</v>
      </c>
      <c r="B16">
        <v>-5.82</v>
      </c>
      <c r="C16">
        <v>-1.76</v>
      </c>
      <c r="D16">
        <v>-2.23</v>
      </c>
      <c r="E16">
        <v>3.12</v>
      </c>
      <c r="F16">
        <v>8.26</v>
      </c>
      <c r="G16">
        <v>10.199999999999999</v>
      </c>
      <c r="H16">
        <v>11.91</v>
      </c>
      <c r="I16">
        <v>12.16</v>
      </c>
      <c r="J16">
        <v>9.4499999999999993</v>
      </c>
      <c r="K16">
        <v>5.45</v>
      </c>
      <c r="L16">
        <v>-2</v>
      </c>
      <c r="M16">
        <v>-6.36</v>
      </c>
      <c r="N16">
        <v>-3.68</v>
      </c>
      <c r="O16">
        <v>3.05</v>
      </c>
      <c r="P16">
        <v>11.42</v>
      </c>
      <c r="Q16">
        <v>4.3</v>
      </c>
      <c r="R16">
        <v>-1.47</v>
      </c>
      <c r="S16">
        <v>9.18</v>
      </c>
      <c r="T16">
        <v>3.53</v>
      </c>
    </row>
    <row r="17" spans="1:20" hidden="1" x14ac:dyDescent="0.3">
      <c r="A17">
        <v>1879</v>
      </c>
      <c r="B17">
        <v>-4.0999999999999996</v>
      </c>
      <c r="C17">
        <v>-2.58</v>
      </c>
      <c r="D17">
        <v>0.09</v>
      </c>
      <c r="E17">
        <v>0.92</v>
      </c>
      <c r="F17">
        <v>3.41</v>
      </c>
      <c r="G17">
        <v>10.82</v>
      </c>
      <c r="H17">
        <v>9.7899999999999991</v>
      </c>
      <c r="I17">
        <v>14.02</v>
      </c>
      <c r="J17">
        <v>9.32</v>
      </c>
      <c r="K17">
        <v>4</v>
      </c>
      <c r="L17">
        <v>-3.14</v>
      </c>
      <c r="M17">
        <v>-8.4</v>
      </c>
      <c r="N17">
        <v>-4.3499999999999996</v>
      </c>
      <c r="O17">
        <v>1.47</v>
      </c>
      <c r="P17">
        <v>11.54</v>
      </c>
      <c r="Q17">
        <v>3.39</v>
      </c>
      <c r="R17">
        <v>-1.58</v>
      </c>
      <c r="S17">
        <v>8.0500000000000007</v>
      </c>
      <c r="T17">
        <v>2.85</v>
      </c>
    </row>
    <row r="18" spans="1:20" hidden="1" x14ac:dyDescent="0.3">
      <c r="A18">
        <v>1880</v>
      </c>
      <c r="B18">
        <v>-6.41</v>
      </c>
      <c r="C18">
        <v>-2.06</v>
      </c>
      <c r="D18">
        <v>2.19</v>
      </c>
      <c r="E18">
        <v>3.72</v>
      </c>
      <c r="F18">
        <v>6.2</v>
      </c>
      <c r="G18">
        <v>8.91</v>
      </c>
      <c r="H18">
        <v>13.67</v>
      </c>
      <c r="I18">
        <v>11.13</v>
      </c>
      <c r="J18">
        <v>9.66</v>
      </c>
      <c r="K18">
        <v>5.41</v>
      </c>
      <c r="L18">
        <v>1.1299999999999999</v>
      </c>
      <c r="M18">
        <v>0.44</v>
      </c>
      <c r="N18">
        <v>-5.62</v>
      </c>
      <c r="O18">
        <v>4.04</v>
      </c>
      <c r="P18">
        <v>11.24</v>
      </c>
      <c r="Q18">
        <v>5.4</v>
      </c>
      <c r="R18">
        <v>-2.2999999999999998</v>
      </c>
      <c r="S18">
        <v>8.8800000000000008</v>
      </c>
      <c r="T18">
        <v>4.5</v>
      </c>
    </row>
    <row r="19" spans="1:20" hidden="1" x14ac:dyDescent="0.3">
      <c r="A19">
        <v>1881</v>
      </c>
      <c r="B19">
        <v>-6.82</v>
      </c>
      <c r="C19">
        <v>-1.95</v>
      </c>
      <c r="D19">
        <v>1.1299999999999999</v>
      </c>
      <c r="E19">
        <v>2.69</v>
      </c>
      <c r="F19">
        <v>6.42</v>
      </c>
      <c r="G19">
        <v>9.91</v>
      </c>
      <c r="H19">
        <v>15.24</v>
      </c>
      <c r="I19">
        <v>12.71</v>
      </c>
      <c r="J19">
        <v>7.47</v>
      </c>
      <c r="K19">
        <v>1.1599999999999999</v>
      </c>
      <c r="L19">
        <v>2.86</v>
      </c>
      <c r="M19">
        <v>-2.92</v>
      </c>
      <c r="N19">
        <v>-2.78</v>
      </c>
      <c r="O19">
        <v>3.41</v>
      </c>
      <c r="P19">
        <v>12.62</v>
      </c>
      <c r="Q19">
        <v>3.83</v>
      </c>
      <c r="R19">
        <v>-0.11</v>
      </c>
      <c r="S19">
        <v>9.07</v>
      </c>
      <c r="T19">
        <v>3.99</v>
      </c>
    </row>
    <row r="20" spans="1:20" hidden="1" x14ac:dyDescent="0.3">
      <c r="A20">
        <v>1882</v>
      </c>
      <c r="B20">
        <v>-2</v>
      </c>
      <c r="C20">
        <v>-2.38</v>
      </c>
      <c r="D20">
        <v>1.68</v>
      </c>
      <c r="E20">
        <v>2.79</v>
      </c>
      <c r="F20">
        <v>7.56</v>
      </c>
      <c r="G20">
        <v>9.5399999999999991</v>
      </c>
      <c r="H20">
        <v>10.95</v>
      </c>
      <c r="I20">
        <v>10.29</v>
      </c>
      <c r="J20">
        <v>7.43</v>
      </c>
      <c r="K20">
        <v>5.0999999999999996</v>
      </c>
      <c r="L20">
        <v>0.08</v>
      </c>
      <c r="M20">
        <v>-2.14</v>
      </c>
      <c r="N20">
        <v>-2.4300000000000002</v>
      </c>
      <c r="O20">
        <v>4.01</v>
      </c>
      <c r="P20">
        <v>10.26</v>
      </c>
      <c r="Q20">
        <v>4.2</v>
      </c>
      <c r="R20">
        <v>-0.27</v>
      </c>
      <c r="S20">
        <v>8.09</v>
      </c>
      <c r="T20">
        <v>4.07</v>
      </c>
    </row>
    <row r="21" spans="1:20" hidden="1" x14ac:dyDescent="0.3">
      <c r="A21">
        <v>1883</v>
      </c>
      <c r="B21">
        <v>-3.2</v>
      </c>
      <c r="C21">
        <v>-1.1000000000000001</v>
      </c>
      <c r="D21">
        <v>-4.3600000000000003</v>
      </c>
      <c r="E21">
        <v>1.88</v>
      </c>
      <c r="F21">
        <v>7.32</v>
      </c>
      <c r="G21">
        <v>9.84</v>
      </c>
      <c r="H21">
        <v>10.9</v>
      </c>
      <c r="I21">
        <v>11.64</v>
      </c>
      <c r="J21">
        <v>8.17</v>
      </c>
      <c r="K21">
        <v>3.85</v>
      </c>
      <c r="L21">
        <v>0.22</v>
      </c>
      <c r="M21">
        <v>-3.65</v>
      </c>
      <c r="N21">
        <v>-2.15</v>
      </c>
      <c r="O21">
        <v>1.61</v>
      </c>
      <c r="P21">
        <v>10.79</v>
      </c>
      <c r="Q21">
        <v>4.08</v>
      </c>
      <c r="R21">
        <v>-0.93</v>
      </c>
      <c r="S21">
        <v>8.2899999999999991</v>
      </c>
      <c r="T21">
        <v>3.46</v>
      </c>
    </row>
    <row r="22" spans="1:20" hidden="1" x14ac:dyDescent="0.3">
      <c r="A22">
        <v>1884</v>
      </c>
      <c r="B22">
        <v>-1.73</v>
      </c>
      <c r="C22">
        <v>-1.29</v>
      </c>
      <c r="D22">
        <v>0.81</v>
      </c>
      <c r="E22">
        <v>2.46</v>
      </c>
      <c r="F22">
        <v>8.5</v>
      </c>
      <c r="G22">
        <v>7.39</v>
      </c>
      <c r="H22">
        <v>13.19</v>
      </c>
      <c r="I22">
        <v>12.62</v>
      </c>
      <c r="J22">
        <v>9.41</v>
      </c>
      <c r="K22">
        <v>3.27</v>
      </c>
      <c r="L22">
        <v>-1.67</v>
      </c>
      <c r="M22">
        <v>-2.54</v>
      </c>
      <c r="N22">
        <v>-2.2200000000000002</v>
      </c>
      <c r="O22">
        <v>3.92</v>
      </c>
      <c r="P22">
        <v>11.07</v>
      </c>
      <c r="Q22">
        <v>3.67</v>
      </c>
      <c r="R22">
        <v>-0.3</v>
      </c>
      <c r="S22">
        <v>8.93</v>
      </c>
      <c r="T22">
        <v>4.2</v>
      </c>
    </row>
    <row r="23" spans="1:20" hidden="1" x14ac:dyDescent="0.3">
      <c r="A23">
        <v>1885</v>
      </c>
      <c r="B23">
        <v>-6.02</v>
      </c>
      <c r="C23">
        <v>-0.03</v>
      </c>
      <c r="D23">
        <v>-0.48</v>
      </c>
      <c r="E23">
        <v>3.79</v>
      </c>
      <c r="F23">
        <v>4.8499999999999996</v>
      </c>
      <c r="G23">
        <v>12.29</v>
      </c>
      <c r="H23">
        <v>13.75</v>
      </c>
      <c r="I23">
        <v>11.8</v>
      </c>
      <c r="J23">
        <v>8.5399999999999991</v>
      </c>
      <c r="K23">
        <v>2.59</v>
      </c>
      <c r="L23">
        <v>1.21</v>
      </c>
      <c r="M23">
        <v>-3.11</v>
      </c>
      <c r="N23">
        <v>-2.86</v>
      </c>
      <c r="O23">
        <v>2.72</v>
      </c>
      <c r="P23">
        <v>12.61</v>
      </c>
      <c r="Q23">
        <v>4.1100000000000003</v>
      </c>
      <c r="R23">
        <v>-1.25</v>
      </c>
      <c r="S23">
        <v>9.17</v>
      </c>
      <c r="T23">
        <v>4.0999999999999996</v>
      </c>
    </row>
    <row r="24" spans="1:20" hidden="1" x14ac:dyDescent="0.3">
      <c r="A24">
        <v>1886</v>
      </c>
      <c r="B24">
        <v>-5.24</v>
      </c>
      <c r="C24">
        <v>-5.25</v>
      </c>
      <c r="D24">
        <v>-1.85</v>
      </c>
      <c r="E24">
        <v>4.34</v>
      </c>
      <c r="F24">
        <v>7.55</v>
      </c>
      <c r="G24">
        <v>8.7799999999999994</v>
      </c>
      <c r="H24">
        <v>13.09</v>
      </c>
      <c r="I24">
        <v>12.12</v>
      </c>
      <c r="J24">
        <v>11.25</v>
      </c>
      <c r="K24">
        <v>6.05</v>
      </c>
      <c r="L24">
        <v>0.55000000000000004</v>
      </c>
      <c r="M24">
        <v>-3.82</v>
      </c>
      <c r="N24">
        <v>-4.53</v>
      </c>
      <c r="O24">
        <v>3.35</v>
      </c>
      <c r="P24">
        <v>11.33</v>
      </c>
      <c r="Q24">
        <v>5.95</v>
      </c>
      <c r="R24">
        <v>-1.94</v>
      </c>
      <c r="S24">
        <v>9.52</v>
      </c>
      <c r="T24">
        <v>3.96</v>
      </c>
    </row>
    <row r="25" spans="1:20" hidden="1" x14ac:dyDescent="0.3">
      <c r="A25">
        <v>1887</v>
      </c>
      <c r="B25">
        <v>-5.75</v>
      </c>
      <c r="C25">
        <v>-4.93</v>
      </c>
      <c r="D25">
        <v>-2.19</v>
      </c>
      <c r="E25">
        <v>2.4500000000000002</v>
      </c>
      <c r="F25">
        <v>4.54</v>
      </c>
      <c r="G25">
        <v>11.89</v>
      </c>
      <c r="H25">
        <v>14.59</v>
      </c>
      <c r="I25">
        <v>12.08</v>
      </c>
      <c r="J25">
        <v>8.2799999999999994</v>
      </c>
      <c r="K25">
        <v>0.76</v>
      </c>
      <c r="L25">
        <v>-0.77</v>
      </c>
      <c r="M25">
        <v>-5.41</v>
      </c>
      <c r="N25">
        <v>-4.83</v>
      </c>
      <c r="O25">
        <v>1.6</v>
      </c>
      <c r="P25">
        <v>12.85</v>
      </c>
      <c r="Q25">
        <v>2.75</v>
      </c>
      <c r="R25">
        <v>-1.68</v>
      </c>
      <c r="S25">
        <v>8.9700000000000006</v>
      </c>
      <c r="T25">
        <v>2.96</v>
      </c>
    </row>
    <row r="26" spans="1:20" hidden="1" x14ac:dyDescent="0.3">
      <c r="A26">
        <v>1888</v>
      </c>
      <c r="B26">
        <v>-5.32</v>
      </c>
      <c r="C26">
        <v>-5.26</v>
      </c>
      <c r="D26">
        <v>-2.34</v>
      </c>
      <c r="E26">
        <v>0.98</v>
      </c>
      <c r="F26">
        <v>8.0500000000000007</v>
      </c>
      <c r="G26">
        <v>10.8</v>
      </c>
      <c r="H26">
        <v>10.02</v>
      </c>
      <c r="I26">
        <v>10.81</v>
      </c>
      <c r="J26">
        <v>9.4499999999999993</v>
      </c>
      <c r="K26">
        <v>2.39</v>
      </c>
      <c r="L26">
        <v>1.1599999999999999</v>
      </c>
      <c r="M26">
        <v>-1.86</v>
      </c>
      <c r="N26">
        <v>-5.33</v>
      </c>
      <c r="O26">
        <v>2.23</v>
      </c>
      <c r="P26">
        <v>10.54</v>
      </c>
      <c r="Q26">
        <v>4.33</v>
      </c>
      <c r="R26">
        <v>-3.06</v>
      </c>
      <c r="S26">
        <v>8.35</v>
      </c>
      <c r="T26">
        <v>3.24</v>
      </c>
    </row>
    <row r="27" spans="1:20" hidden="1" x14ac:dyDescent="0.3">
      <c r="A27">
        <v>1889</v>
      </c>
      <c r="B27">
        <v>-4.78</v>
      </c>
      <c r="C27">
        <v>-6.14</v>
      </c>
      <c r="D27">
        <v>-3.6</v>
      </c>
      <c r="E27">
        <v>1.31</v>
      </c>
      <c r="F27">
        <v>8.49</v>
      </c>
      <c r="G27">
        <v>11.67</v>
      </c>
      <c r="H27">
        <v>11.68</v>
      </c>
      <c r="I27">
        <v>11.08</v>
      </c>
      <c r="J27">
        <v>7.48</v>
      </c>
      <c r="K27">
        <v>3.87</v>
      </c>
      <c r="L27">
        <v>0.66</v>
      </c>
      <c r="M27">
        <v>-5.47</v>
      </c>
      <c r="N27">
        <v>-4.26</v>
      </c>
      <c r="O27">
        <v>2.0699999999999998</v>
      </c>
      <c r="P27">
        <v>11.48</v>
      </c>
      <c r="Q27">
        <v>4</v>
      </c>
      <c r="R27">
        <v>-2.14</v>
      </c>
      <c r="S27">
        <v>8.6199999999999992</v>
      </c>
      <c r="T27">
        <v>3.02</v>
      </c>
    </row>
    <row r="28" spans="1:20" hidden="1" x14ac:dyDescent="0.3">
      <c r="A28">
        <v>1890</v>
      </c>
      <c r="B28">
        <v>-1.3</v>
      </c>
      <c r="C28">
        <v>-5.66</v>
      </c>
      <c r="D28">
        <v>-0.78</v>
      </c>
      <c r="E28">
        <v>2.29</v>
      </c>
      <c r="F28">
        <v>7.95</v>
      </c>
      <c r="G28">
        <v>9.5299999999999994</v>
      </c>
      <c r="H28">
        <v>10.72</v>
      </c>
      <c r="I28">
        <v>11.44</v>
      </c>
      <c r="J28">
        <v>8.27</v>
      </c>
      <c r="K28">
        <v>2.97</v>
      </c>
      <c r="L28">
        <v>-0.96</v>
      </c>
      <c r="M28">
        <v>-6.74</v>
      </c>
      <c r="N28">
        <v>-4.1399999999999997</v>
      </c>
      <c r="O28">
        <v>3.15</v>
      </c>
      <c r="P28">
        <v>10.56</v>
      </c>
      <c r="Q28">
        <v>3.43</v>
      </c>
      <c r="R28">
        <v>-1.45</v>
      </c>
      <c r="S28">
        <v>8.3699999999999992</v>
      </c>
      <c r="T28">
        <v>3.15</v>
      </c>
    </row>
    <row r="29" spans="1:20" hidden="1" x14ac:dyDescent="0.3">
      <c r="A29">
        <v>1891</v>
      </c>
      <c r="B29">
        <v>-8.5299999999999994</v>
      </c>
      <c r="C29">
        <v>-4.0199999999999996</v>
      </c>
      <c r="D29">
        <v>-1.61</v>
      </c>
      <c r="E29">
        <v>0.49</v>
      </c>
      <c r="F29">
        <v>6.76</v>
      </c>
      <c r="G29">
        <v>10.46</v>
      </c>
      <c r="H29">
        <v>11.26</v>
      </c>
      <c r="I29">
        <v>10.57</v>
      </c>
      <c r="J29">
        <v>9.82</v>
      </c>
      <c r="K29">
        <v>5.89</v>
      </c>
      <c r="L29">
        <v>-0.23</v>
      </c>
      <c r="M29">
        <v>-1.94</v>
      </c>
      <c r="N29">
        <v>-6.43</v>
      </c>
      <c r="O29">
        <v>1.88</v>
      </c>
      <c r="P29">
        <v>10.76</v>
      </c>
      <c r="Q29">
        <v>5.16</v>
      </c>
      <c r="R29">
        <v>-3.15</v>
      </c>
      <c r="S29">
        <v>8.23</v>
      </c>
      <c r="T29">
        <v>3.24</v>
      </c>
    </row>
    <row r="30" spans="1:20" hidden="1" x14ac:dyDescent="0.3">
      <c r="A30">
        <v>1892</v>
      </c>
      <c r="B30">
        <v>-4.41</v>
      </c>
      <c r="C30">
        <v>-2.62</v>
      </c>
      <c r="D30">
        <v>-3.4</v>
      </c>
      <c r="E30">
        <v>3.22</v>
      </c>
      <c r="F30">
        <v>7.32</v>
      </c>
      <c r="G30">
        <v>10.89</v>
      </c>
      <c r="H30">
        <v>12.03</v>
      </c>
      <c r="I30">
        <v>13.37</v>
      </c>
      <c r="J30">
        <v>9.77</v>
      </c>
      <c r="K30">
        <v>3.81</v>
      </c>
      <c r="L30">
        <v>2.08</v>
      </c>
      <c r="M30">
        <v>-4.8099999999999996</v>
      </c>
      <c r="N30">
        <v>-2.99</v>
      </c>
      <c r="O30">
        <v>2.38</v>
      </c>
      <c r="P30">
        <v>12.1</v>
      </c>
      <c r="Q30">
        <v>5.22</v>
      </c>
      <c r="R30">
        <v>-1.1200000000000001</v>
      </c>
      <c r="S30">
        <v>9.43</v>
      </c>
      <c r="T30">
        <v>3.94</v>
      </c>
    </row>
    <row r="31" spans="1:20" hidden="1" x14ac:dyDescent="0.3">
      <c r="A31">
        <v>1893</v>
      </c>
      <c r="B31">
        <v>-8.48</v>
      </c>
      <c r="C31">
        <v>-2.44</v>
      </c>
      <c r="D31">
        <v>0.75</v>
      </c>
      <c r="E31">
        <v>6.33</v>
      </c>
      <c r="F31">
        <v>7</v>
      </c>
      <c r="G31">
        <v>10.81</v>
      </c>
      <c r="H31">
        <v>12.33</v>
      </c>
      <c r="I31">
        <v>13.3</v>
      </c>
      <c r="J31">
        <v>9.25</v>
      </c>
      <c r="K31">
        <v>6.38</v>
      </c>
      <c r="L31">
        <v>-0.69</v>
      </c>
      <c r="M31">
        <v>-3.33</v>
      </c>
      <c r="N31">
        <v>-5.24</v>
      </c>
      <c r="O31">
        <v>4.6900000000000004</v>
      </c>
      <c r="P31">
        <v>12.15</v>
      </c>
      <c r="Q31">
        <v>4.9800000000000004</v>
      </c>
      <c r="R31">
        <v>-1.51</v>
      </c>
      <c r="S31">
        <v>9.84</v>
      </c>
      <c r="T31">
        <v>4.2699999999999996</v>
      </c>
    </row>
    <row r="32" spans="1:20" hidden="1" x14ac:dyDescent="0.3">
      <c r="A32">
        <v>1894</v>
      </c>
      <c r="B32">
        <v>-5.0599999999999996</v>
      </c>
      <c r="C32">
        <v>-2.61</v>
      </c>
      <c r="D32">
        <v>-0.11</v>
      </c>
      <c r="E32">
        <v>4.96</v>
      </c>
      <c r="F32">
        <v>6.39</v>
      </c>
      <c r="G32">
        <v>9.92</v>
      </c>
      <c r="H32">
        <v>13.03</v>
      </c>
      <c r="I32">
        <v>11.72</v>
      </c>
      <c r="J32">
        <v>7.84</v>
      </c>
      <c r="K32">
        <v>4.4800000000000004</v>
      </c>
      <c r="L32">
        <v>1.67</v>
      </c>
      <c r="M32">
        <v>-4</v>
      </c>
      <c r="N32">
        <v>-3.67</v>
      </c>
      <c r="O32">
        <v>3.75</v>
      </c>
      <c r="P32">
        <v>11.56</v>
      </c>
      <c r="Q32">
        <v>4.66</v>
      </c>
      <c r="R32">
        <v>-0.9</v>
      </c>
      <c r="S32">
        <v>8.98</v>
      </c>
      <c r="T32">
        <v>4.0199999999999996</v>
      </c>
    </row>
    <row r="33" spans="1:20" hidden="1" x14ac:dyDescent="0.3">
      <c r="A33">
        <v>1895</v>
      </c>
      <c r="B33">
        <v>-8.66</v>
      </c>
      <c r="C33">
        <v>-9.26</v>
      </c>
      <c r="D33">
        <v>-2.1800000000000002</v>
      </c>
      <c r="E33">
        <v>4.17</v>
      </c>
      <c r="F33">
        <v>6.87</v>
      </c>
      <c r="G33">
        <v>10.52</v>
      </c>
      <c r="H33">
        <v>13.24</v>
      </c>
      <c r="I33">
        <v>11.98</v>
      </c>
      <c r="J33">
        <v>12.61</v>
      </c>
      <c r="K33">
        <v>4</v>
      </c>
      <c r="L33">
        <v>3.39</v>
      </c>
      <c r="M33">
        <v>-2.54</v>
      </c>
      <c r="N33">
        <v>-7.31</v>
      </c>
      <c r="O33">
        <v>2.95</v>
      </c>
      <c r="P33">
        <v>11.91</v>
      </c>
      <c r="Q33">
        <v>6.67</v>
      </c>
      <c r="R33">
        <v>-2.99</v>
      </c>
      <c r="S33">
        <v>9.9</v>
      </c>
      <c r="T33">
        <v>3.68</v>
      </c>
    </row>
    <row r="34" spans="1:20" hidden="1" x14ac:dyDescent="0.3">
      <c r="A34">
        <v>1896</v>
      </c>
      <c r="B34">
        <v>-4.49</v>
      </c>
      <c r="C34">
        <v>-2.82</v>
      </c>
      <c r="D34">
        <v>1.34</v>
      </c>
      <c r="E34">
        <v>0.56999999999999995</v>
      </c>
      <c r="F34">
        <v>5.52</v>
      </c>
      <c r="G34">
        <v>10.47</v>
      </c>
      <c r="H34">
        <v>12.78</v>
      </c>
      <c r="I34">
        <v>9.24</v>
      </c>
      <c r="J34">
        <v>8.27</v>
      </c>
      <c r="K34">
        <v>3.47</v>
      </c>
      <c r="L34">
        <v>-1.62</v>
      </c>
      <c r="M34">
        <v>-3.01</v>
      </c>
      <c r="N34">
        <v>-3.28</v>
      </c>
      <c r="O34">
        <v>2.48</v>
      </c>
      <c r="P34">
        <v>10.83</v>
      </c>
      <c r="Q34">
        <v>3.37</v>
      </c>
      <c r="R34">
        <v>-0.19</v>
      </c>
      <c r="S34">
        <v>7.81</v>
      </c>
      <c r="T34">
        <v>3.31</v>
      </c>
    </row>
    <row r="35" spans="1:20" hidden="1" x14ac:dyDescent="0.3">
      <c r="A35">
        <v>1897</v>
      </c>
      <c r="B35">
        <v>-4.7699999999999996</v>
      </c>
      <c r="C35">
        <v>7.0000000000000007E-2</v>
      </c>
      <c r="D35">
        <v>1.45</v>
      </c>
      <c r="E35">
        <v>2.95</v>
      </c>
      <c r="F35">
        <v>5.49</v>
      </c>
      <c r="G35">
        <v>12.35</v>
      </c>
      <c r="H35">
        <v>13.05</v>
      </c>
      <c r="I35">
        <v>12.25</v>
      </c>
      <c r="J35">
        <v>7.98</v>
      </c>
      <c r="K35">
        <v>3.99</v>
      </c>
      <c r="L35">
        <v>1.38</v>
      </c>
      <c r="M35">
        <v>-2.69</v>
      </c>
      <c r="N35">
        <v>-2.57</v>
      </c>
      <c r="O35">
        <v>3.29</v>
      </c>
      <c r="P35">
        <v>12.55</v>
      </c>
      <c r="Q35">
        <v>4.45</v>
      </c>
      <c r="R35">
        <v>-0.74</v>
      </c>
      <c r="S35">
        <v>9.01</v>
      </c>
      <c r="T35">
        <v>4.46</v>
      </c>
    </row>
    <row r="36" spans="1:20" hidden="1" x14ac:dyDescent="0.3">
      <c r="A36">
        <v>1898</v>
      </c>
      <c r="B36">
        <v>-0.76</v>
      </c>
      <c r="C36">
        <v>-3.54</v>
      </c>
      <c r="D36">
        <v>-1.06</v>
      </c>
      <c r="E36">
        <v>3.4</v>
      </c>
      <c r="F36">
        <v>6.13</v>
      </c>
      <c r="G36">
        <v>9.43</v>
      </c>
      <c r="H36">
        <v>11.25</v>
      </c>
      <c r="I36">
        <v>13.9</v>
      </c>
      <c r="J36">
        <v>11.38</v>
      </c>
      <c r="K36">
        <v>6.48</v>
      </c>
      <c r="L36">
        <v>2.4900000000000002</v>
      </c>
      <c r="M36">
        <v>-2.2799999999999998</v>
      </c>
      <c r="N36">
        <v>-2.33</v>
      </c>
      <c r="O36">
        <v>2.83</v>
      </c>
      <c r="P36">
        <v>11.53</v>
      </c>
      <c r="Q36">
        <v>6.78</v>
      </c>
      <c r="R36">
        <v>-0.45</v>
      </c>
      <c r="S36">
        <v>9.25</v>
      </c>
      <c r="T36">
        <v>4.74</v>
      </c>
    </row>
    <row r="37" spans="1:20" hidden="1" x14ac:dyDescent="0.3">
      <c r="A37">
        <v>1899</v>
      </c>
      <c r="B37">
        <v>-1.6</v>
      </c>
      <c r="C37">
        <v>-0.56000000000000005</v>
      </c>
      <c r="D37">
        <v>-0.14000000000000001</v>
      </c>
      <c r="E37">
        <v>2.39</v>
      </c>
      <c r="F37">
        <v>6.22</v>
      </c>
      <c r="G37">
        <v>10.47</v>
      </c>
      <c r="H37">
        <v>12.49</v>
      </c>
      <c r="I37">
        <v>13.6</v>
      </c>
      <c r="J37">
        <v>8.67</v>
      </c>
      <c r="K37">
        <v>6.38</v>
      </c>
      <c r="L37">
        <v>2.0699999999999998</v>
      </c>
      <c r="M37">
        <v>-4.63</v>
      </c>
      <c r="N37">
        <v>-1.48</v>
      </c>
      <c r="O37">
        <v>2.82</v>
      </c>
      <c r="P37">
        <v>12.18</v>
      </c>
      <c r="Q37">
        <v>5.7</v>
      </c>
      <c r="R37">
        <v>0.73</v>
      </c>
      <c r="S37">
        <v>8.9700000000000006</v>
      </c>
      <c r="T37">
        <v>4.6100000000000003</v>
      </c>
    </row>
    <row r="38" spans="1:20" hidden="1" x14ac:dyDescent="0.3">
      <c r="A38">
        <v>1900</v>
      </c>
      <c r="B38">
        <v>-3.03</v>
      </c>
      <c r="C38">
        <v>-1</v>
      </c>
      <c r="D38">
        <v>-4.09</v>
      </c>
      <c r="E38">
        <v>1.96</v>
      </c>
      <c r="F38">
        <v>6.34</v>
      </c>
      <c r="G38">
        <v>11.52</v>
      </c>
      <c r="H38">
        <v>13.97</v>
      </c>
      <c r="I38">
        <v>11.3</v>
      </c>
      <c r="J38">
        <v>11.29</v>
      </c>
      <c r="K38">
        <v>5.53</v>
      </c>
      <c r="L38">
        <v>0.87</v>
      </c>
      <c r="M38">
        <v>-0.61</v>
      </c>
      <c r="N38">
        <v>-2.88</v>
      </c>
      <c r="O38">
        <v>1.4</v>
      </c>
      <c r="P38">
        <v>12.26</v>
      </c>
      <c r="Q38">
        <v>5.9</v>
      </c>
      <c r="R38">
        <v>-0.72</v>
      </c>
      <c r="S38">
        <v>9.4</v>
      </c>
      <c r="T38">
        <v>4.5</v>
      </c>
    </row>
    <row r="39" spans="1:20" hidden="1" x14ac:dyDescent="0.3">
      <c r="A39">
        <v>1901</v>
      </c>
      <c r="B39">
        <v>-4.7</v>
      </c>
      <c r="C39">
        <v>-8.75</v>
      </c>
      <c r="D39">
        <v>-2.63</v>
      </c>
      <c r="E39">
        <v>3.4</v>
      </c>
      <c r="F39">
        <v>7.5</v>
      </c>
      <c r="G39">
        <v>11.31</v>
      </c>
      <c r="H39">
        <v>12.92</v>
      </c>
      <c r="I39">
        <v>11.84</v>
      </c>
      <c r="J39">
        <v>9.58</v>
      </c>
      <c r="K39">
        <v>4.5599999999999996</v>
      </c>
      <c r="L39">
        <v>-1.39</v>
      </c>
      <c r="M39">
        <v>-2.82</v>
      </c>
      <c r="N39">
        <v>-4.6900000000000004</v>
      </c>
      <c r="O39">
        <v>2.76</v>
      </c>
      <c r="P39">
        <v>12.02</v>
      </c>
      <c r="Q39">
        <v>4.25</v>
      </c>
      <c r="R39">
        <v>-1.71</v>
      </c>
      <c r="S39">
        <v>9.43</v>
      </c>
      <c r="T39">
        <v>3.4</v>
      </c>
    </row>
    <row r="40" spans="1:20" hidden="1" x14ac:dyDescent="0.3">
      <c r="A40">
        <v>1902</v>
      </c>
      <c r="B40">
        <v>-2.52</v>
      </c>
      <c r="C40">
        <v>-3.1</v>
      </c>
      <c r="D40">
        <v>-0.38</v>
      </c>
      <c r="E40">
        <v>5.12</v>
      </c>
      <c r="F40">
        <v>3.1</v>
      </c>
      <c r="G40">
        <v>9.4600000000000009</v>
      </c>
      <c r="H40">
        <v>13.1</v>
      </c>
      <c r="I40">
        <v>11.5</v>
      </c>
      <c r="J40">
        <v>9.1199999999999992</v>
      </c>
      <c r="K40">
        <v>4.04</v>
      </c>
      <c r="L40">
        <v>-0.05</v>
      </c>
      <c r="M40">
        <v>-3.35</v>
      </c>
      <c r="N40">
        <v>-2.81</v>
      </c>
      <c r="O40">
        <v>2.61</v>
      </c>
      <c r="P40">
        <v>11.35</v>
      </c>
      <c r="Q40">
        <v>4.37</v>
      </c>
      <c r="R40">
        <v>-0.94</v>
      </c>
      <c r="S40">
        <v>8.56</v>
      </c>
      <c r="T40">
        <v>3.83</v>
      </c>
    </row>
    <row r="41" spans="1:20" hidden="1" x14ac:dyDescent="0.3">
      <c r="A41">
        <v>1903</v>
      </c>
      <c r="B41">
        <v>-3.55</v>
      </c>
      <c r="C41">
        <v>-0.81</v>
      </c>
      <c r="D41">
        <v>0.52</v>
      </c>
      <c r="E41">
        <v>-0.52</v>
      </c>
      <c r="F41">
        <v>7.11</v>
      </c>
      <c r="G41">
        <v>9.44</v>
      </c>
      <c r="H41">
        <v>11.35</v>
      </c>
      <c r="I41">
        <v>12.2</v>
      </c>
      <c r="J41">
        <v>9.41</v>
      </c>
      <c r="K41">
        <v>5.52</v>
      </c>
      <c r="L41">
        <v>0.11</v>
      </c>
      <c r="M41">
        <v>-3.93</v>
      </c>
      <c r="N41">
        <v>-2.57</v>
      </c>
      <c r="O41">
        <v>2.37</v>
      </c>
      <c r="P41">
        <v>11</v>
      </c>
      <c r="Q41">
        <v>5.01</v>
      </c>
      <c r="R41">
        <v>-0.53</v>
      </c>
      <c r="S41">
        <v>8.16</v>
      </c>
      <c r="T41">
        <v>3.9</v>
      </c>
    </row>
    <row r="42" spans="1:20" hidden="1" x14ac:dyDescent="0.3">
      <c r="A42">
        <v>1904</v>
      </c>
      <c r="B42">
        <v>-4.25</v>
      </c>
      <c r="C42">
        <v>-3.13</v>
      </c>
      <c r="D42">
        <v>-0.59</v>
      </c>
      <c r="E42">
        <v>4.6399999999999997</v>
      </c>
      <c r="F42">
        <v>8.57</v>
      </c>
      <c r="G42">
        <v>11.72</v>
      </c>
      <c r="H42">
        <v>15.13</v>
      </c>
      <c r="I42">
        <v>13.2</v>
      </c>
      <c r="J42">
        <v>7.38</v>
      </c>
      <c r="K42">
        <v>4.95</v>
      </c>
      <c r="L42">
        <v>-0.62</v>
      </c>
      <c r="M42">
        <v>-2.02</v>
      </c>
      <c r="N42">
        <v>-3.77</v>
      </c>
      <c r="O42">
        <v>4.2</v>
      </c>
      <c r="P42">
        <v>13.35</v>
      </c>
      <c r="Q42">
        <v>3.9</v>
      </c>
      <c r="R42">
        <v>-1.05</v>
      </c>
      <c r="S42">
        <v>10.11</v>
      </c>
      <c r="T42">
        <v>4.58</v>
      </c>
    </row>
    <row r="43" spans="1:20" hidden="1" x14ac:dyDescent="0.3">
      <c r="A43">
        <v>1905</v>
      </c>
      <c r="B43">
        <v>-6.29</v>
      </c>
      <c r="C43">
        <v>-4.01</v>
      </c>
      <c r="D43">
        <v>0.1</v>
      </c>
      <c r="E43">
        <v>2.9</v>
      </c>
      <c r="F43">
        <v>5.97</v>
      </c>
      <c r="G43">
        <v>11.17</v>
      </c>
      <c r="H43">
        <v>15.07</v>
      </c>
      <c r="I43">
        <v>12.14</v>
      </c>
      <c r="J43">
        <v>9.44</v>
      </c>
      <c r="K43">
        <v>-0.28999999999999998</v>
      </c>
      <c r="L43">
        <v>-0.89</v>
      </c>
      <c r="M43">
        <v>-2.44</v>
      </c>
      <c r="N43">
        <v>-4.1100000000000003</v>
      </c>
      <c r="O43">
        <v>2.99</v>
      </c>
      <c r="P43">
        <v>12.79</v>
      </c>
      <c r="Q43">
        <v>2.75</v>
      </c>
      <c r="R43">
        <v>-1.31</v>
      </c>
      <c r="S43">
        <v>9.4499999999999993</v>
      </c>
      <c r="T43">
        <v>3.57</v>
      </c>
    </row>
    <row r="44" spans="1:20" hidden="1" x14ac:dyDescent="0.3">
      <c r="A44">
        <v>1906</v>
      </c>
      <c r="B44">
        <v>-3.61</v>
      </c>
      <c r="C44">
        <v>-5.08</v>
      </c>
      <c r="D44">
        <v>-1.6</v>
      </c>
      <c r="E44">
        <v>2.2400000000000002</v>
      </c>
      <c r="F44">
        <v>7.36</v>
      </c>
      <c r="G44">
        <v>10.050000000000001</v>
      </c>
      <c r="H44">
        <v>12.93</v>
      </c>
      <c r="I44">
        <v>13.41</v>
      </c>
      <c r="J44">
        <v>8.7100000000000009</v>
      </c>
      <c r="K44">
        <v>7.06</v>
      </c>
      <c r="L44">
        <v>1.68</v>
      </c>
      <c r="M44">
        <v>-6.42</v>
      </c>
      <c r="N44">
        <v>-3.71</v>
      </c>
      <c r="O44">
        <v>2.67</v>
      </c>
      <c r="P44">
        <v>12.13</v>
      </c>
      <c r="Q44">
        <v>5.82</v>
      </c>
      <c r="R44">
        <v>-2.3199999999999998</v>
      </c>
      <c r="S44">
        <v>9.1199999999999992</v>
      </c>
      <c r="T44">
        <v>3.89</v>
      </c>
    </row>
    <row r="45" spans="1:20" hidden="1" x14ac:dyDescent="0.3">
      <c r="A45">
        <v>1907</v>
      </c>
      <c r="B45">
        <v>-4.66</v>
      </c>
      <c r="C45">
        <v>-5.94</v>
      </c>
      <c r="D45">
        <v>-2.0699999999999998</v>
      </c>
      <c r="E45">
        <v>1.23</v>
      </c>
      <c r="F45">
        <v>7.76</v>
      </c>
      <c r="G45">
        <v>10.45</v>
      </c>
      <c r="H45">
        <v>10.69</v>
      </c>
      <c r="I45">
        <v>12.99</v>
      </c>
      <c r="J45">
        <v>10.3</v>
      </c>
      <c r="K45">
        <v>6.1</v>
      </c>
      <c r="L45">
        <v>1.56</v>
      </c>
      <c r="M45">
        <v>-1.46</v>
      </c>
      <c r="N45">
        <v>-5.68</v>
      </c>
      <c r="O45">
        <v>2.31</v>
      </c>
      <c r="P45">
        <v>11.38</v>
      </c>
      <c r="Q45">
        <v>5.99</v>
      </c>
      <c r="R45">
        <v>-1.73</v>
      </c>
      <c r="S45">
        <v>8.9</v>
      </c>
      <c r="T45">
        <v>3.91</v>
      </c>
    </row>
    <row r="46" spans="1:20" hidden="1" x14ac:dyDescent="0.3">
      <c r="A46">
        <v>1908</v>
      </c>
      <c r="B46">
        <v>-4.25</v>
      </c>
      <c r="C46">
        <v>-3.65</v>
      </c>
      <c r="D46">
        <v>-2.46</v>
      </c>
      <c r="E46">
        <v>0.65</v>
      </c>
      <c r="F46">
        <v>9.06</v>
      </c>
      <c r="G46">
        <v>12.34</v>
      </c>
      <c r="H46">
        <v>12.13</v>
      </c>
      <c r="I46">
        <v>10.83</v>
      </c>
      <c r="J46">
        <v>8.5500000000000007</v>
      </c>
      <c r="K46">
        <v>5.87</v>
      </c>
      <c r="L46">
        <v>-0.37</v>
      </c>
      <c r="M46">
        <v>-3.44</v>
      </c>
      <c r="N46">
        <v>-3.12</v>
      </c>
      <c r="O46">
        <v>2.42</v>
      </c>
      <c r="P46">
        <v>11.77</v>
      </c>
      <c r="Q46">
        <v>4.68</v>
      </c>
      <c r="R46">
        <v>-0.69</v>
      </c>
      <c r="S46">
        <v>8.93</v>
      </c>
      <c r="T46">
        <v>3.77</v>
      </c>
    </row>
    <row r="47" spans="1:20" hidden="1" x14ac:dyDescent="0.3">
      <c r="A47">
        <v>1909</v>
      </c>
      <c r="B47">
        <v>-5.39</v>
      </c>
      <c r="C47">
        <v>-6.45</v>
      </c>
      <c r="D47">
        <v>-3.05</v>
      </c>
      <c r="E47">
        <v>4.49</v>
      </c>
      <c r="F47">
        <v>6.76</v>
      </c>
      <c r="G47">
        <v>8.67</v>
      </c>
      <c r="H47">
        <v>10.38</v>
      </c>
      <c r="I47">
        <v>11.81</v>
      </c>
      <c r="J47">
        <v>8.1999999999999993</v>
      </c>
      <c r="K47">
        <v>6.07</v>
      </c>
      <c r="L47">
        <v>-1.58</v>
      </c>
      <c r="M47">
        <v>-1.46</v>
      </c>
      <c r="N47">
        <v>-5.09</v>
      </c>
      <c r="O47">
        <v>2.73</v>
      </c>
      <c r="P47">
        <v>10.28</v>
      </c>
      <c r="Q47">
        <v>4.2300000000000004</v>
      </c>
      <c r="R47">
        <v>-2.14</v>
      </c>
      <c r="S47">
        <v>8.3800000000000008</v>
      </c>
      <c r="T47">
        <v>3.2</v>
      </c>
    </row>
    <row r="48" spans="1:20" hidden="1" x14ac:dyDescent="0.3">
      <c r="A48">
        <v>1910</v>
      </c>
      <c r="B48">
        <v>-3.25</v>
      </c>
      <c r="C48">
        <v>-2.93</v>
      </c>
      <c r="D48">
        <v>-0.59</v>
      </c>
      <c r="E48">
        <v>2.0699999999999998</v>
      </c>
      <c r="F48">
        <v>5.63</v>
      </c>
      <c r="G48">
        <v>10.72</v>
      </c>
      <c r="H48">
        <v>10.39</v>
      </c>
      <c r="I48">
        <v>11.42</v>
      </c>
      <c r="J48">
        <v>7.06</v>
      </c>
      <c r="K48">
        <v>5.88</v>
      </c>
      <c r="L48">
        <v>-1.42</v>
      </c>
      <c r="M48">
        <v>-0.85</v>
      </c>
      <c r="N48">
        <v>-2.5499999999999998</v>
      </c>
      <c r="O48">
        <v>2.37</v>
      </c>
      <c r="P48">
        <v>10.85</v>
      </c>
      <c r="Q48">
        <v>3.84</v>
      </c>
      <c r="R48">
        <v>-0.62</v>
      </c>
      <c r="S48">
        <v>7.88</v>
      </c>
      <c r="T48">
        <v>3.68</v>
      </c>
    </row>
    <row r="49" spans="1:20" hidden="1" x14ac:dyDescent="0.3">
      <c r="A49">
        <v>1911</v>
      </c>
      <c r="B49">
        <v>-5.5</v>
      </c>
      <c r="C49">
        <v>-3.07</v>
      </c>
      <c r="D49">
        <v>-0.65</v>
      </c>
      <c r="E49">
        <v>2.0099999999999998</v>
      </c>
      <c r="F49">
        <v>7.35</v>
      </c>
      <c r="G49">
        <v>10.14</v>
      </c>
      <c r="H49">
        <v>15.26</v>
      </c>
      <c r="I49">
        <v>15.27</v>
      </c>
      <c r="J49">
        <v>11.23</v>
      </c>
      <c r="K49">
        <v>5.09</v>
      </c>
      <c r="L49">
        <v>1.82</v>
      </c>
      <c r="M49">
        <v>-0.86</v>
      </c>
      <c r="N49">
        <v>-3.14</v>
      </c>
      <c r="O49">
        <v>2.9</v>
      </c>
      <c r="P49">
        <v>13.56</v>
      </c>
      <c r="Q49">
        <v>6.05</v>
      </c>
      <c r="R49">
        <v>-0.94</v>
      </c>
      <c r="S49">
        <v>10.210000000000001</v>
      </c>
      <c r="T49">
        <v>4.84</v>
      </c>
    </row>
    <row r="50" spans="1:20" hidden="1" x14ac:dyDescent="0.3">
      <c r="A50">
        <v>1912</v>
      </c>
      <c r="B50">
        <v>-2.27</v>
      </c>
      <c r="C50">
        <v>0.09</v>
      </c>
      <c r="D50">
        <v>1.46</v>
      </c>
      <c r="E50">
        <v>1.81</v>
      </c>
      <c r="F50">
        <v>8.0500000000000007</v>
      </c>
      <c r="G50">
        <v>10.5</v>
      </c>
      <c r="H50">
        <v>11.98</v>
      </c>
      <c r="I50">
        <v>9.07</v>
      </c>
      <c r="J50">
        <v>4.38</v>
      </c>
      <c r="K50">
        <v>3.71</v>
      </c>
      <c r="L50">
        <v>-2.5099999999999998</v>
      </c>
      <c r="M50">
        <v>-1.1100000000000001</v>
      </c>
      <c r="N50">
        <v>-1.01</v>
      </c>
      <c r="O50">
        <v>3.78</v>
      </c>
      <c r="P50">
        <v>10.51</v>
      </c>
      <c r="Q50">
        <v>1.86</v>
      </c>
      <c r="R50">
        <v>0.89</v>
      </c>
      <c r="S50">
        <v>7.63</v>
      </c>
      <c r="T50">
        <v>3.76</v>
      </c>
    </row>
    <row r="51" spans="1:20" hidden="1" x14ac:dyDescent="0.3">
      <c r="A51">
        <v>1913</v>
      </c>
      <c r="B51">
        <v>-2.11</v>
      </c>
      <c r="C51">
        <v>-3.16</v>
      </c>
      <c r="D51">
        <v>1.72</v>
      </c>
      <c r="E51">
        <v>2.4900000000000002</v>
      </c>
      <c r="F51">
        <v>6.95</v>
      </c>
      <c r="G51">
        <v>10.130000000000001</v>
      </c>
      <c r="H51">
        <v>9.5399999999999991</v>
      </c>
      <c r="I51">
        <v>11.19</v>
      </c>
      <c r="J51">
        <v>8.5299999999999994</v>
      </c>
      <c r="K51">
        <v>6.58</v>
      </c>
      <c r="L51">
        <v>2.7</v>
      </c>
      <c r="M51">
        <v>-2.83</v>
      </c>
      <c r="N51">
        <v>-2.13</v>
      </c>
      <c r="O51">
        <v>3.72</v>
      </c>
      <c r="P51">
        <v>10.29</v>
      </c>
      <c r="Q51">
        <v>5.94</v>
      </c>
      <c r="R51">
        <v>-0.57999999999999996</v>
      </c>
      <c r="S51">
        <v>8.14</v>
      </c>
      <c r="T51">
        <v>4.3099999999999996</v>
      </c>
    </row>
    <row r="52" spans="1:20" hidden="1" x14ac:dyDescent="0.3">
      <c r="A52">
        <v>1914</v>
      </c>
      <c r="B52">
        <v>-6.53</v>
      </c>
      <c r="C52">
        <v>-0.48</v>
      </c>
      <c r="D52">
        <v>-0.02</v>
      </c>
      <c r="E52">
        <v>5.17</v>
      </c>
      <c r="F52">
        <v>5.72</v>
      </c>
      <c r="G52">
        <v>9.16</v>
      </c>
      <c r="H52">
        <v>10.9</v>
      </c>
      <c r="I52">
        <v>12.25</v>
      </c>
      <c r="J52">
        <v>8.5399999999999991</v>
      </c>
      <c r="K52">
        <v>4.3499999999999996</v>
      </c>
      <c r="L52">
        <v>-0.66</v>
      </c>
      <c r="M52">
        <v>-1.1299999999999999</v>
      </c>
      <c r="N52">
        <v>-3.28</v>
      </c>
      <c r="O52">
        <v>3.62</v>
      </c>
      <c r="P52">
        <v>10.77</v>
      </c>
      <c r="Q52">
        <v>4.08</v>
      </c>
      <c r="R52">
        <v>-0.1</v>
      </c>
      <c r="S52">
        <v>8.6199999999999992</v>
      </c>
      <c r="T52">
        <v>3.94</v>
      </c>
    </row>
    <row r="53" spans="1:20" hidden="1" x14ac:dyDescent="0.3">
      <c r="A53">
        <v>1915</v>
      </c>
      <c r="B53">
        <v>-4.72</v>
      </c>
      <c r="C53">
        <v>-3.81</v>
      </c>
      <c r="D53">
        <v>-1.53</v>
      </c>
      <c r="E53">
        <v>1.75</v>
      </c>
      <c r="F53">
        <v>9.56</v>
      </c>
      <c r="G53">
        <v>12.37</v>
      </c>
      <c r="H53">
        <v>11.82</v>
      </c>
      <c r="I53">
        <v>10.92</v>
      </c>
      <c r="J53">
        <v>7.71</v>
      </c>
      <c r="K53">
        <v>2.4900000000000002</v>
      </c>
      <c r="L53">
        <v>-2.15</v>
      </c>
      <c r="M53">
        <v>0.77</v>
      </c>
      <c r="N53">
        <v>-3.22</v>
      </c>
      <c r="O53">
        <v>3.26</v>
      </c>
      <c r="P53">
        <v>11.7</v>
      </c>
      <c r="Q53">
        <v>2.68</v>
      </c>
      <c r="R53">
        <v>-1.25</v>
      </c>
      <c r="S53">
        <v>9.02</v>
      </c>
      <c r="T53">
        <v>3.76</v>
      </c>
    </row>
    <row r="54" spans="1:20" hidden="1" x14ac:dyDescent="0.3">
      <c r="A54">
        <v>1916</v>
      </c>
      <c r="B54">
        <v>-0.96</v>
      </c>
      <c r="C54">
        <v>-2.63</v>
      </c>
      <c r="D54">
        <v>-0.06</v>
      </c>
      <c r="E54">
        <v>3.08</v>
      </c>
      <c r="F54">
        <v>8.0500000000000007</v>
      </c>
      <c r="G54">
        <v>8.32</v>
      </c>
      <c r="H54">
        <v>11.57</v>
      </c>
      <c r="I54">
        <v>11.69</v>
      </c>
      <c r="J54">
        <v>7.26</v>
      </c>
      <c r="K54">
        <v>4.75</v>
      </c>
      <c r="L54">
        <v>0.37</v>
      </c>
      <c r="M54">
        <v>-1.93</v>
      </c>
      <c r="N54">
        <v>-0.94</v>
      </c>
      <c r="O54">
        <v>3.69</v>
      </c>
      <c r="P54">
        <v>10.53</v>
      </c>
      <c r="Q54">
        <v>4.13</v>
      </c>
      <c r="R54">
        <v>-0.42</v>
      </c>
      <c r="S54">
        <v>8.33</v>
      </c>
      <c r="T54">
        <v>4.13</v>
      </c>
    </row>
    <row r="55" spans="1:20" hidden="1" x14ac:dyDescent="0.3">
      <c r="A55">
        <v>1917</v>
      </c>
      <c r="B55">
        <v>-6.13</v>
      </c>
      <c r="C55">
        <v>-5.2</v>
      </c>
      <c r="D55">
        <v>-2.83</v>
      </c>
      <c r="E55">
        <v>-0.45</v>
      </c>
      <c r="F55">
        <v>9.9700000000000006</v>
      </c>
      <c r="G55">
        <v>12.63</v>
      </c>
      <c r="H55">
        <v>12.5</v>
      </c>
      <c r="I55">
        <v>11.43</v>
      </c>
      <c r="J55">
        <v>11.51</v>
      </c>
      <c r="K55">
        <v>2.5299999999999998</v>
      </c>
      <c r="L55">
        <v>-0.14000000000000001</v>
      </c>
      <c r="M55">
        <v>-6.28</v>
      </c>
      <c r="N55">
        <v>-4.42</v>
      </c>
      <c r="O55">
        <v>2.23</v>
      </c>
      <c r="P55">
        <v>12.19</v>
      </c>
      <c r="Q55">
        <v>4.63</v>
      </c>
      <c r="R55">
        <v>-1.83</v>
      </c>
      <c r="S55">
        <v>9.6</v>
      </c>
      <c r="T55">
        <v>3.3</v>
      </c>
    </row>
    <row r="56" spans="1:20" hidden="1" x14ac:dyDescent="0.3">
      <c r="A56">
        <v>1918</v>
      </c>
      <c r="B56">
        <v>-2.8</v>
      </c>
      <c r="C56">
        <v>-2.2999999999999998</v>
      </c>
      <c r="D56">
        <v>-0.57999999999999996</v>
      </c>
      <c r="E56">
        <v>3.07</v>
      </c>
      <c r="F56">
        <v>8.66</v>
      </c>
      <c r="G56">
        <v>8.3800000000000008</v>
      </c>
      <c r="H56">
        <v>12.42</v>
      </c>
      <c r="I56">
        <v>11.94</v>
      </c>
      <c r="J56">
        <v>9.82</v>
      </c>
      <c r="K56">
        <v>3.38</v>
      </c>
      <c r="L56">
        <v>0.3</v>
      </c>
      <c r="M56">
        <v>-0.36</v>
      </c>
      <c r="N56">
        <v>-3.79</v>
      </c>
      <c r="O56">
        <v>3.72</v>
      </c>
      <c r="P56">
        <v>10.91</v>
      </c>
      <c r="Q56">
        <v>4.5</v>
      </c>
      <c r="R56">
        <v>-1.59</v>
      </c>
      <c r="S56">
        <v>9.0500000000000007</v>
      </c>
      <c r="T56">
        <v>4.33</v>
      </c>
    </row>
    <row r="57" spans="1:20" hidden="1" x14ac:dyDescent="0.3">
      <c r="A57">
        <v>1919</v>
      </c>
      <c r="B57">
        <v>-4.08</v>
      </c>
      <c r="C57">
        <v>-4.03</v>
      </c>
      <c r="D57">
        <v>-0.89</v>
      </c>
      <c r="E57">
        <v>0.36</v>
      </c>
      <c r="F57">
        <v>6.77</v>
      </c>
      <c r="G57">
        <v>10.87</v>
      </c>
      <c r="H57">
        <v>9.43</v>
      </c>
      <c r="I57">
        <v>13.93</v>
      </c>
      <c r="J57">
        <v>11.09</v>
      </c>
      <c r="K57">
        <v>1.25</v>
      </c>
      <c r="L57">
        <v>-2.14</v>
      </c>
      <c r="M57">
        <v>-2.29</v>
      </c>
      <c r="N57">
        <v>-2.83</v>
      </c>
      <c r="O57">
        <v>2.08</v>
      </c>
      <c r="P57">
        <v>11.41</v>
      </c>
      <c r="Q57">
        <v>3.4</v>
      </c>
      <c r="R57">
        <v>-0.95</v>
      </c>
      <c r="S57">
        <v>8.74</v>
      </c>
      <c r="T57">
        <v>3.36</v>
      </c>
    </row>
    <row r="58" spans="1:20" hidden="1" x14ac:dyDescent="0.3">
      <c r="A58">
        <v>1920</v>
      </c>
      <c r="B58">
        <v>-1.04</v>
      </c>
      <c r="C58">
        <v>-0.67</v>
      </c>
      <c r="D58">
        <v>1.91</v>
      </c>
      <c r="E58">
        <v>3.62</v>
      </c>
      <c r="F58">
        <v>10.11</v>
      </c>
      <c r="G58">
        <v>10.36</v>
      </c>
      <c r="H58">
        <v>12.55</v>
      </c>
      <c r="I58">
        <v>10.57</v>
      </c>
      <c r="J58">
        <v>9.4</v>
      </c>
      <c r="K58">
        <v>5.5</v>
      </c>
      <c r="L58">
        <v>0.82</v>
      </c>
      <c r="M58">
        <v>-2.37</v>
      </c>
      <c r="N58">
        <v>-1.33</v>
      </c>
      <c r="O58">
        <v>5.21</v>
      </c>
      <c r="P58">
        <v>11.16</v>
      </c>
      <c r="Q58">
        <v>5.24</v>
      </c>
      <c r="R58">
        <v>-0.5</v>
      </c>
      <c r="S58">
        <v>9.43</v>
      </c>
      <c r="T58">
        <v>5.0599999999999996</v>
      </c>
    </row>
    <row r="59" spans="1:20" hidden="1" x14ac:dyDescent="0.3">
      <c r="A59">
        <v>1921</v>
      </c>
      <c r="B59">
        <v>-0.48</v>
      </c>
      <c r="C59">
        <v>-3.04</v>
      </c>
      <c r="D59">
        <v>1.07</v>
      </c>
      <c r="E59">
        <v>2.04</v>
      </c>
      <c r="F59">
        <v>8.74</v>
      </c>
      <c r="G59">
        <v>11</v>
      </c>
      <c r="H59">
        <v>15.07</v>
      </c>
      <c r="I59">
        <v>12.57</v>
      </c>
      <c r="J59">
        <v>11.28</v>
      </c>
      <c r="K59">
        <v>8.1</v>
      </c>
      <c r="L59">
        <v>-1.45</v>
      </c>
      <c r="M59">
        <v>-2.15</v>
      </c>
      <c r="N59">
        <v>-1.96</v>
      </c>
      <c r="O59">
        <v>3.95</v>
      </c>
      <c r="P59">
        <v>12.88</v>
      </c>
      <c r="Q59">
        <v>5.98</v>
      </c>
      <c r="R59">
        <v>0.25</v>
      </c>
      <c r="S59">
        <v>10.119999999999999</v>
      </c>
      <c r="T59">
        <v>5.23</v>
      </c>
    </row>
    <row r="60" spans="1:20" hidden="1" x14ac:dyDescent="0.3">
      <c r="A60">
        <v>1922</v>
      </c>
      <c r="B60">
        <v>-4.7699999999999996</v>
      </c>
      <c r="C60">
        <v>-2.72</v>
      </c>
      <c r="D60">
        <v>0.5</v>
      </c>
      <c r="E60">
        <v>1.18</v>
      </c>
      <c r="F60">
        <v>9.49</v>
      </c>
      <c r="G60">
        <v>11.19</v>
      </c>
      <c r="H60">
        <v>11.3</v>
      </c>
      <c r="I60">
        <v>12.24</v>
      </c>
      <c r="J60">
        <v>7</v>
      </c>
      <c r="K60">
        <v>3.38</v>
      </c>
      <c r="L60">
        <v>-1.55</v>
      </c>
      <c r="M60">
        <v>-2.97</v>
      </c>
      <c r="N60">
        <v>-3.21</v>
      </c>
      <c r="O60">
        <v>3.73</v>
      </c>
      <c r="P60">
        <v>11.58</v>
      </c>
      <c r="Q60">
        <v>2.94</v>
      </c>
      <c r="R60">
        <v>-0.42</v>
      </c>
      <c r="S60">
        <v>8.73</v>
      </c>
      <c r="T60">
        <v>3.69</v>
      </c>
    </row>
    <row r="61" spans="1:20" hidden="1" x14ac:dyDescent="0.3">
      <c r="A61">
        <v>1923</v>
      </c>
      <c r="B61">
        <v>-4.4800000000000004</v>
      </c>
      <c r="C61">
        <v>-1.23</v>
      </c>
      <c r="D61">
        <v>0.09</v>
      </c>
      <c r="E61">
        <v>3.12</v>
      </c>
      <c r="F61">
        <v>7.36</v>
      </c>
      <c r="G61">
        <v>7.29</v>
      </c>
      <c r="H61">
        <v>15.09</v>
      </c>
      <c r="I61">
        <v>13.63</v>
      </c>
      <c r="J61">
        <v>8.9</v>
      </c>
      <c r="K61">
        <v>6.88</v>
      </c>
      <c r="L61">
        <v>0.06</v>
      </c>
      <c r="M61">
        <v>-3.85</v>
      </c>
      <c r="N61">
        <v>-2.89</v>
      </c>
      <c r="O61">
        <v>3.52</v>
      </c>
      <c r="P61">
        <v>12</v>
      </c>
      <c r="Q61">
        <v>5.28</v>
      </c>
      <c r="R61">
        <v>-1.1299999999999999</v>
      </c>
      <c r="S61">
        <v>9.23</v>
      </c>
      <c r="T61">
        <v>4.41</v>
      </c>
    </row>
    <row r="62" spans="1:20" hidden="1" x14ac:dyDescent="0.3">
      <c r="A62">
        <v>1924</v>
      </c>
      <c r="B62">
        <v>-4.4400000000000004</v>
      </c>
      <c r="C62">
        <v>-5.62</v>
      </c>
      <c r="D62">
        <v>-0.52</v>
      </c>
      <c r="E62">
        <v>3.25</v>
      </c>
      <c r="F62">
        <v>8.75</v>
      </c>
      <c r="G62">
        <v>10.67</v>
      </c>
      <c r="H62">
        <v>12.7</v>
      </c>
      <c r="I62">
        <v>9.32</v>
      </c>
      <c r="J62">
        <v>9.49</v>
      </c>
      <c r="K62">
        <v>5.38</v>
      </c>
      <c r="L62">
        <v>1.56</v>
      </c>
      <c r="M62">
        <v>-1.76</v>
      </c>
      <c r="N62">
        <v>-4.6399999999999997</v>
      </c>
      <c r="O62">
        <v>3.83</v>
      </c>
      <c r="P62">
        <v>10.9</v>
      </c>
      <c r="Q62">
        <v>5.48</v>
      </c>
      <c r="R62">
        <v>-1.25</v>
      </c>
      <c r="S62">
        <v>9.0299999999999994</v>
      </c>
      <c r="T62">
        <v>4.0599999999999996</v>
      </c>
    </row>
    <row r="63" spans="1:20" hidden="1" x14ac:dyDescent="0.3">
      <c r="A63">
        <v>1925</v>
      </c>
      <c r="B63">
        <v>-1.25</v>
      </c>
      <c r="C63">
        <v>-1.69</v>
      </c>
      <c r="D63">
        <v>-3.33</v>
      </c>
      <c r="E63">
        <v>2.99</v>
      </c>
      <c r="F63">
        <v>7.64</v>
      </c>
      <c r="G63">
        <v>11.56</v>
      </c>
      <c r="H63">
        <v>12.09</v>
      </c>
      <c r="I63">
        <v>11.8</v>
      </c>
      <c r="J63">
        <v>6.87</v>
      </c>
      <c r="K63">
        <v>5.86</v>
      </c>
      <c r="L63">
        <v>-0.86</v>
      </c>
      <c r="M63">
        <v>-3.32</v>
      </c>
      <c r="N63">
        <v>-1.57</v>
      </c>
      <c r="O63">
        <v>2.4300000000000002</v>
      </c>
      <c r="P63">
        <v>11.82</v>
      </c>
      <c r="Q63">
        <v>3.96</v>
      </c>
      <c r="R63">
        <v>-0.18</v>
      </c>
      <c r="S63">
        <v>8.82</v>
      </c>
      <c r="T63">
        <v>4.03</v>
      </c>
    </row>
    <row r="64" spans="1:20" hidden="1" x14ac:dyDescent="0.3">
      <c r="A64">
        <v>1926</v>
      </c>
      <c r="B64">
        <v>-3.66</v>
      </c>
      <c r="C64">
        <v>1.27</v>
      </c>
      <c r="D64">
        <v>0.39</v>
      </c>
      <c r="E64">
        <v>4.3899999999999997</v>
      </c>
      <c r="F64">
        <v>5.67</v>
      </c>
      <c r="G64">
        <v>8.18</v>
      </c>
      <c r="H64">
        <v>11.84</v>
      </c>
      <c r="I64">
        <v>12.74</v>
      </c>
      <c r="J64">
        <v>11.62</v>
      </c>
      <c r="K64">
        <v>5.6</v>
      </c>
      <c r="L64">
        <v>2.64</v>
      </c>
      <c r="M64">
        <v>-3.82</v>
      </c>
      <c r="N64">
        <v>-1.91</v>
      </c>
      <c r="O64">
        <v>3.48</v>
      </c>
      <c r="P64">
        <v>10.92</v>
      </c>
      <c r="Q64">
        <v>6.62</v>
      </c>
      <c r="R64">
        <v>-0.05</v>
      </c>
      <c r="S64">
        <v>9.07</v>
      </c>
      <c r="T64">
        <v>4.74</v>
      </c>
    </row>
    <row r="65" spans="1:20" hidden="1" x14ac:dyDescent="0.3">
      <c r="A65">
        <v>1927</v>
      </c>
      <c r="B65">
        <v>-3.34</v>
      </c>
      <c r="C65">
        <v>-3.13</v>
      </c>
      <c r="D65">
        <v>0.1</v>
      </c>
      <c r="E65">
        <v>3.52</v>
      </c>
      <c r="F65">
        <v>8.4</v>
      </c>
      <c r="G65">
        <v>10.73</v>
      </c>
      <c r="H65">
        <v>12.72</v>
      </c>
      <c r="I65">
        <v>11.77</v>
      </c>
      <c r="J65">
        <v>9.3800000000000008</v>
      </c>
      <c r="K65">
        <v>5.38</v>
      </c>
      <c r="L65">
        <v>1.36</v>
      </c>
      <c r="M65">
        <v>-2.79</v>
      </c>
      <c r="N65">
        <v>-3.43</v>
      </c>
      <c r="O65">
        <v>4.01</v>
      </c>
      <c r="P65">
        <v>11.74</v>
      </c>
      <c r="Q65">
        <v>5.37</v>
      </c>
      <c r="R65">
        <v>-0.33</v>
      </c>
      <c r="S65">
        <v>9.42</v>
      </c>
      <c r="T65">
        <v>4.51</v>
      </c>
    </row>
    <row r="66" spans="1:20" hidden="1" x14ac:dyDescent="0.3">
      <c r="A66">
        <v>1928</v>
      </c>
      <c r="B66">
        <v>-2.2999999999999998</v>
      </c>
      <c r="C66">
        <v>-1.48</v>
      </c>
      <c r="D66">
        <v>0.37</v>
      </c>
      <c r="E66">
        <v>3.28</v>
      </c>
      <c r="F66">
        <v>5.28</v>
      </c>
      <c r="G66">
        <v>11.06</v>
      </c>
      <c r="H66">
        <v>16.14</v>
      </c>
      <c r="I66">
        <v>14.12</v>
      </c>
      <c r="J66">
        <v>9.52</v>
      </c>
      <c r="K66">
        <v>4.8899999999999997</v>
      </c>
      <c r="L66">
        <v>1.35</v>
      </c>
      <c r="M66">
        <v>-4</v>
      </c>
      <c r="N66">
        <v>-2.19</v>
      </c>
      <c r="O66">
        <v>2.98</v>
      </c>
      <c r="P66">
        <v>13.77</v>
      </c>
      <c r="Q66">
        <v>5.25</v>
      </c>
      <c r="R66">
        <v>0.09</v>
      </c>
      <c r="S66">
        <v>9.9</v>
      </c>
      <c r="T66">
        <v>4.8499999999999996</v>
      </c>
    </row>
    <row r="67" spans="1:20" hidden="1" x14ac:dyDescent="0.3">
      <c r="A67">
        <v>1929</v>
      </c>
      <c r="B67">
        <v>-7.4</v>
      </c>
      <c r="C67">
        <v>-8.43</v>
      </c>
      <c r="D67">
        <v>0.2</v>
      </c>
      <c r="E67">
        <v>0.95</v>
      </c>
      <c r="F67">
        <v>7.95</v>
      </c>
      <c r="G67">
        <v>11.66</v>
      </c>
      <c r="H67">
        <v>13.96</v>
      </c>
      <c r="I67">
        <v>12.66</v>
      </c>
      <c r="J67">
        <v>12.4</v>
      </c>
      <c r="K67">
        <v>5.6</v>
      </c>
      <c r="L67">
        <v>0.8</v>
      </c>
      <c r="M67">
        <v>-1.01</v>
      </c>
      <c r="N67">
        <v>-6.61</v>
      </c>
      <c r="O67">
        <v>3.03</v>
      </c>
      <c r="P67">
        <v>12.76</v>
      </c>
      <c r="Q67">
        <v>6.27</v>
      </c>
      <c r="R67">
        <v>-2.23</v>
      </c>
      <c r="S67">
        <v>9.93</v>
      </c>
      <c r="T67">
        <v>4.1100000000000003</v>
      </c>
    </row>
    <row r="68" spans="1:20" hidden="1" x14ac:dyDescent="0.3">
      <c r="A68">
        <v>1930</v>
      </c>
      <c r="B68">
        <v>-0.83</v>
      </c>
      <c r="C68">
        <v>-3.94</v>
      </c>
      <c r="D68">
        <v>0.8</v>
      </c>
      <c r="E68">
        <v>3.71</v>
      </c>
      <c r="F68">
        <v>6.21</v>
      </c>
      <c r="G68">
        <v>13.54</v>
      </c>
      <c r="H68">
        <v>11.66</v>
      </c>
      <c r="I68">
        <v>12.37</v>
      </c>
      <c r="J68">
        <v>10.06</v>
      </c>
      <c r="K68">
        <v>4.9400000000000004</v>
      </c>
      <c r="L68">
        <v>2.63</v>
      </c>
      <c r="M68">
        <v>-2.27</v>
      </c>
      <c r="N68">
        <v>-1.93</v>
      </c>
      <c r="O68">
        <v>3.58</v>
      </c>
      <c r="P68">
        <v>12.52</v>
      </c>
      <c r="Q68">
        <v>5.88</v>
      </c>
      <c r="R68">
        <v>0.24</v>
      </c>
      <c r="S68">
        <v>9.59</v>
      </c>
      <c r="T68">
        <v>4.91</v>
      </c>
    </row>
    <row r="69" spans="1:20" hidden="1" x14ac:dyDescent="0.3">
      <c r="A69">
        <v>1931</v>
      </c>
      <c r="B69">
        <v>-4.45</v>
      </c>
      <c r="C69">
        <v>-5.28</v>
      </c>
      <c r="D69">
        <v>-1.9</v>
      </c>
      <c r="E69">
        <v>2.1</v>
      </c>
      <c r="F69">
        <v>9.43</v>
      </c>
      <c r="G69">
        <v>13.44</v>
      </c>
      <c r="H69">
        <v>12.22</v>
      </c>
      <c r="I69">
        <v>10.74</v>
      </c>
      <c r="J69">
        <v>5.29</v>
      </c>
      <c r="K69">
        <v>4.5999999999999996</v>
      </c>
      <c r="L69">
        <v>2.19</v>
      </c>
      <c r="M69">
        <v>-3.98</v>
      </c>
      <c r="N69">
        <v>-4</v>
      </c>
      <c r="O69">
        <v>3.21</v>
      </c>
      <c r="P69">
        <v>12.14</v>
      </c>
      <c r="Q69">
        <v>4.03</v>
      </c>
      <c r="R69">
        <v>-1.05</v>
      </c>
      <c r="S69">
        <v>8.8699999999999992</v>
      </c>
      <c r="T69">
        <v>3.7</v>
      </c>
    </row>
    <row r="70" spans="1:20" hidden="1" x14ac:dyDescent="0.3">
      <c r="A70">
        <v>1932</v>
      </c>
      <c r="B70">
        <v>-1.77</v>
      </c>
      <c r="C70">
        <v>-6.87</v>
      </c>
      <c r="D70">
        <v>-2.09</v>
      </c>
      <c r="E70">
        <v>1.26</v>
      </c>
      <c r="F70">
        <v>6.48</v>
      </c>
      <c r="G70">
        <v>9.7200000000000006</v>
      </c>
      <c r="H70">
        <v>12.04</v>
      </c>
      <c r="I70">
        <v>15.11</v>
      </c>
      <c r="J70">
        <v>12.38</v>
      </c>
      <c r="K70">
        <v>4.53</v>
      </c>
      <c r="L70">
        <v>1.5</v>
      </c>
      <c r="M70">
        <v>-1.04</v>
      </c>
      <c r="N70">
        <v>-4.21</v>
      </c>
      <c r="O70">
        <v>1.88</v>
      </c>
      <c r="P70">
        <v>12.29</v>
      </c>
      <c r="Q70">
        <v>6.14</v>
      </c>
      <c r="R70">
        <v>-1.32</v>
      </c>
      <c r="S70">
        <v>9.5</v>
      </c>
      <c r="T70">
        <v>4.2699999999999996</v>
      </c>
    </row>
    <row r="71" spans="1:20" hidden="1" x14ac:dyDescent="0.3">
      <c r="A71">
        <v>1933</v>
      </c>
      <c r="B71">
        <v>-5.76</v>
      </c>
      <c r="C71">
        <v>-3.42</v>
      </c>
      <c r="D71">
        <v>0.6</v>
      </c>
      <c r="E71">
        <v>3.98</v>
      </c>
      <c r="F71">
        <v>5.99</v>
      </c>
      <c r="G71">
        <v>8.27</v>
      </c>
      <c r="H71">
        <v>13.83</v>
      </c>
      <c r="I71">
        <v>13.92</v>
      </c>
      <c r="J71">
        <v>10.210000000000001</v>
      </c>
      <c r="K71">
        <v>5.27</v>
      </c>
      <c r="L71">
        <v>-0.96</v>
      </c>
      <c r="M71">
        <v>-5.97</v>
      </c>
      <c r="N71">
        <v>-3.41</v>
      </c>
      <c r="O71">
        <v>3.52</v>
      </c>
      <c r="P71">
        <v>12.01</v>
      </c>
      <c r="Q71">
        <v>4.84</v>
      </c>
      <c r="R71">
        <v>-0.6</v>
      </c>
      <c r="S71">
        <v>9.3699999999999992</v>
      </c>
      <c r="T71">
        <v>3.83</v>
      </c>
    </row>
    <row r="72" spans="1:20" hidden="1" x14ac:dyDescent="0.3">
      <c r="A72">
        <v>1934</v>
      </c>
      <c r="B72">
        <v>-3.71</v>
      </c>
      <c r="C72">
        <v>-2.76</v>
      </c>
      <c r="D72">
        <v>-0.4</v>
      </c>
      <c r="E72">
        <v>5.58</v>
      </c>
      <c r="F72">
        <v>9.5500000000000007</v>
      </c>
      <c r="G72">
        <v>11.03</v>
      </c>
      <c r="H72">
        <v>14.11</v>
      </c>
      <c r="I72">
        <v>11.46</v>
      </c>
      <c r="J72">
        <v>11.03</v>
      </c>
      <c r="K72">
        <v>4.9800000000000004</v>
      </c>
      <c r="L72">
        <v>0.06</v>
      </c>
      <c r="M72">
        <v>0.59</v>
      </c>
      <c r="N72">
        <v>-4.1500000000000004</v>
      </c>
      <c r="O72">
        <v>4.91</v>
      </c>
      <c r="P72">
        <v>12.2</v>
      </c>
      <c r="Q72">
        <v>5.36</v>
      </c>
      <c r="R72">
        <v>-1.42</v>
      </c>
      <c r="S72">
        <v>10.46</v>
      </c>
      <c r="T72">
        <v>5.13</v>
      </c>
    </row>
    <row r="73" spans="1:20" hidden="1" x14ac:dyDescent="0.3">
      <c r="A73">
        <v>1935</v>
      </c>
      <c r="B73">
        <v>-6.22</v>
      </c>
      <c r="C73">
        <v>-2.65</v>
      </c>
      <c r="D73">
        <v>-1.64</v>
      </c>
      <c r="E73">
        <v>2.08</v>
      </c>
      <c r="F73">
        <v>5.69</v>
      </c>
      <c r="G73">
        <v>12.91</v>
      </c>
      <c r="H73">
        <v>14.01</v>
      </c>
      <c r="I73">
        <v>11.77</v>
      </c>
      <c r="J73">
        <v>10.26</v>
      </c>
      <c r="K73">
        <v>4.76</v>
      </c>
      <c r="L73">
        <v>1.32</v>
      </c>
      <c r="M73">
        <v>-4.0199999999999996</v>
      </c>
      <c r="N73">
        <v>-2.76</v>
      </c>
      <c r="O73">
        <v>2.04</v>
      </c>
      <c r="P73">
        <v>12.89</v>
      </c>
      <c r="Q73">
        <v>5.44</v>
      </c>
      <c r="R73">
        <v>-0.81</v>
      </c>
      <c r="S73">
        <v>9.4499999999999993</v>
      </c>
      <c r="T73">
        <v>4.0199999999999996</v>
      </c>
    </row>
    <row r="74" spans="1:20" hidden="1" x14ac:dyDescent="0.3">
      <c r="A74">
        <v>1936</v>
      </c>
      <c r="B74">
        <v>-0.32</v>
      </c>
      <c r="C74">
        <v>-2.88</v>
      </c>
      <c r="D74">
        <v>1.2</v>
      </c>
      <c r="E74">
        <v>2.61</v>
      </c>
      <c r="F74">
        <v>7.91</v>
      </c>
      <c r="G74">
        <v>10.31</v>
      </c>
      <c r="H74">
        <v>11.79</v>
      </c>
      <c r="I74">
        <v>12.35</v>
      </c>
      <c r="J74">
        <v>9.4</v>
      </c>
      <c r="K74">
        <v>1.53</v>
      </c>
      <c r="L74">
        <v>0.56000000000000005</v>
      </c>
      <c r="M74">
        <v>-1.76</v>
      </c>
      <c r="N74">
        <v>-2.41</v>
      </c>
      <c r="O74">
        <v>3.91</v>
      </c>
      <c r="P74">
        <v>11.48</v>
      </c>
      <c r="Q74">
        <v>3.83</v>
      </c>
      <c r="R74">
        <v>0.01</v>
      </c>
      <c r="S74">
        <v>9.06</v>
      </c>
      <c r="T74">
        <v>4.3899999999999997</v>
      </c>
    </row>
    <row r="75" spans="1:20" hidden="1" x14ac:dyDescent="0.3">
      <c r="A75">
        <v>1937</v>
      </c>
      <c r="B75">
        <v>-1.84</v>
      </c>
      <c r="C75">
        <v>-0.99</v>
      </c>
      <c r="D75">
        <v>-1.54</v>
      </c>
      <c r="E75">
        <v>2.6</v>
      </c>
      <c r="F75">
        <v>9</v>
      </c>
      <c r="G75">
        <v>11.76</v>
      </c>
      <c r="H75">
        <v>13.44</v>
      </c>
      <c r="I75">
        <v>12.63</v>
      </c>
      <c r="J75">
        <v>8.75</v>
      </c>
      <c r="K75">
        <v>5.67</v>
      </c>
      <c r="L75">
        <v>0.03</v>
      </c>
      <c r="M75">
        <v>-4.71</v>
      </c>
      <c r="N75">
        <v>-1.53</v>
      </c>
      <c r="O75">
        <v>3.35</v>
      </c>
      <c r="P75">
        <v>12.61</v>
      </c>
      <c r="Q75">
        <v>4.82</v>
      </c>
      <c r="R75">
        <v>-0.68</v>
      </c>
      <c r="S75">
        <v>9.6999999999999993</v>
      </c>
      <c r="T75">
        <v>4.57</v>
      </c>
    </row>
    <row r="76" spans="1:20" hidden="1" x14ac:dyDescent="0.3">
      <c r="A76">
        <v>1938</v>
      </c>
      <c r="B76">
        <v>-3.32</v>
      </c>
      <c r="C76">
        <v>-3.44</v>
      </c>
      <c r="D76">
        <v>2.4900000000000002</v>
      </c>
      <c r="E76">
        <v>0.33</v>
      </c>
      <c r="F76">
        <v>5.81</v>
      </c>
      <c r="G76">
        <v>12.36</v>
      </c>
      <c r="H76">
        <v>12.28</v>
      </c>
      <c r="I76">
        <v>12.13</v>
      </c>
      <c r="J76">
        <v>9.76</v>
      </c>
      <c r="K76">
        <v>5.45</v>
      </c>
      <c r="L76">
        <v>3.15</v>
      </c>
      <c r="M76">
        <v>-4.13</v>
      </c>
      <c r="N76">
        <v>-3.82</v>
      </c>
      <c r="O76">
        <v>2.88</v>
      </c>
      <c r="P76">
        <v>12.26</v>
      </c>
      <c r="Q76">
        <v>6.12</v>
      </c>
      <c r="R76">
        <v>-0.55000000000000004</v>
      </c>
      <c r="S76">
        <v>8.7799999999999994</v>
      </c>
      <c r="T76">
        <v>4.41</v>
      </c>
    </row>
    <row r="77" spans="1:20" hidden="1" x14ac:dyDescent="0.3">
      <c r="A77">
        <v>1939</v>
      </c>
      <c r="B77">
        <v>-2.11</v>
      </c>
      <c r="C77">
        <v>-1.56</v>
      </c>
      <c r="D77">
        <v>-3.45</v>
      </c>
      <c r="E77">
        <v>4.5199999999999996</v>
      </c>
      <c r="F77">
        <v>4.5999999999999996</v>
      </c>
      <c r="G77">
        <v>11.12</v>
      </c>
      <c r="H77">
        <v>11.87</v>
      </c>
      <c r="I77">
        <v>12.56</v>
      </c>
      <c r="J77">
        <v>8.7899999999999991</v>
      </c>
      <c r="K77">
        <v>3.66</v>
      </c>
      <c r="L77">
        <v>2.34</v>
      </c>
      <c r="M77">
        <v>-3.95</v>
      </c>
      <c r="N77">
        <v>-2.6</v>
      </c>
      <c r="O77">
        <v>1.89</v>
      </c>
      <c r="P77">
        <v>11.85</v>
      </c>
      <c r="Q77">
        <v>4.93</v>
      </c>
      <c r="R77">
        <v>-0.44</v>
      </c>
      <c r="S77">
        <v>8.91</v>
      </c>
      <c r="T77">
        <v>4.03</v>
      </c>
    </row>
    <row r="78" spans="1:20" hidden="1" x14ac:dyDescent="0.3">
      <c r="A78">
        <v>1940</v>
      </c>
      <c r="B78">
        <v>-6.9</v>
      </c>
      <c r="C78">
        <v>-2.72</v>
      </c>
      <c r="D78">
        <v>-0.3</v>
      </c>
      <c r="E78">
        <v>3.17</v>
      </c>
      <c r="F78">
        <v>7.17</v>
      </c>
      <c r="G78">
        <v>10.23</v>
      </c>
      <c r="H78">
        <v>11.4</v>
      </c>
      <c r="I78">
        <v>11.22</v>
      </c>
      <c r="J78">
        <v>9.6300000000000008</v>
      </c>
      <c r="K78">
        <v>4.76</v>
      </c>
      <c r="L78">
        <v>0.94</v>
      </c>
      <c r="M78">
        <v>-7.17</v>
      </c>
      <c r="N78">
        <v>-4.5199999999999996</v>
      </c>
      <c r="O78">
        <v>3.35</v>
      </c>
      <c r="P78">
        <v>10.95</v>
      </c>
      <c r="Q78">
        <v>5.1100000000000003</v>
      </c>
      <c r="R78">
        <v>-1.31</v>
      </c>
      <c r="S78">
        <v>8.8000000000000007</v>
      </c>
      <c r="T78">
        <v>3.45</v>
      </c>
    </row>
    <row r="79" spans="1:20" hidden="1" x14ac:dyDescent="0.3">
      <c r="A79">
        <v>1941</v>
      </c>
      <c r="B79">
        <v>-5.59</v>
      </c>
      <c r="C79">
        <v>-3.09</v>
      </c>
      <c r="D79">
        <v>0.21</v>
      </c>
      <c r="E79">
        <v>1.71</v>
      </c>
      <c r="F79">
        <v>4.09</v>
      </c>
      <c r="G79">
        <v>11.37</v>
      </c>
      <c r="H79">
        <v>13.93</v>
      </c>
      <c r="I79">
        <v>11.08</v>
      </c>
      <c r="J79">
        <v>9.0299999999999994</v>
      </c>
      <c r="K79">
        <v>3.65</v>
      </c>
      <c r="L79">
        <v>-0.34</v>
      </c>
      <c r="M79">
        <v>-3.46</v>
      </c>
      <c r="N79">
        <v>-5.28</v>
      </c>
      <c r="O79">
        <v>2.0099999999999998</v>
      </c>
      <c r="P79">
        <v>12.13</v>
      </c>
      <c r="Q79">
        <v>4.1100000000000003</v>
      </c>
      <c r="R79">
        <v>-1.65</v>
      </c>
      <c r="S79">
        <v>8.5399999999999991</v>
      </c>
      <c r="T79">
        <v>3.55</v>
      </c>
    </row>
    <row r="80" spans="1:20" hidden="1" x14ac:dyDescent="0.3">
      <c r="A80">
        <v>1942</v>
      </c>
      <c r="B80">
        <v>-8.26</v>
      </c>
      <c r="C80">
        <v>-6.69</v>
      </c>
      <c r="D80">
        <v>1.62</v>
      </c>
      <c r="E80">
        <v>3.78</v>
      </c>
      <c r="F80">
        <v>7.68</v>
      </c>
      <c r="G80">
        <v>11.5</v>
      </c>
      <c r="H80">
        <v>12.7</v>
      </c>
      <c r="I80">
        <v>12.91</v>
      </c>
      <c r="J80">
        <v>11.48</v>
      </c>
      <c r="K80">
        <v>7.67</v>
      </c>
      <c r="L80">
        <v>-0.98</v>
      </c>
      <c r="M80">
        <v>-1.78</v>
      </c>
      <c r="N80">
        <v>-6.14</v>
      </c>
      <c r="O80">
        <v>4.3600000000000003</v>
      </c>
      <c r="P80">
        <v>12.37</v>
      </c>
      <c r="Q80">
        <v>6.06</v>
      </c>
      <c r="R80">
        <v>-2.25</v>
      </c>
      <c r="S80">
        <v>10.01</v>
      </c>
      <c r="T80">
        <v>4.3</v>
      </c>
    </row>
    <row r="81" spans="1:20" hidden="1" x14ac:dyDescent="0.3">
      <c r="A81">
        <v>1943</v>
      </c>
      <c r="B81">
        <v>-3.23</v>
      </c>
      <c r="C81">
        <v>-1.69</v>
      </c>
      <c r="D81">
        <v>1.89</v>
      </c>
      <c r="E81">
        <v>4.66</v>
      </c>
      <c r="F81">
        <v>8.91</v>
      </c>
      <c r="G81">
        <v>10.08</v>
      </c>
      <c r="H81">
        <v>13.2</v>
      </c>
      <c r="I81">
        <v>14.43</v>
      </c>
      <c r="J81">
        <v>10.67</v>
      </c>
      <c r="K81">
        <v>7.35</v>
      </c>
      <c r="L81">
        <v>-0.95</v>
      </c>
      <c r="M81">
        <v>-2.21</v>
      </c>
      <c r="N81">
        <v>-2.23</v>
      </c>
      <c r="O81">
        <v>5.15</v>
      </c>
      <c r="P81">
        <v>12.57</v>
      </c>
      <c r="Q81">
        <v>5.69</v>
      </c>
      <c r="R81">
        <v>0.31</v>
      </c>
      <c r="S81">
        <v>10.33</v>
      </c>
      <c r="T81">
        <v>5.26</v>
      </c>
    </row>
    <row r="82" spans="1:20" hidden="1" x14ac:dyDescent="0.3">
      <c r="A82">
        <v>1944</v>
      </c>
      <c r="B82">
        <v>-1.91</v>
      </c>
      <c r="C82">
        <v>-6.02</v>
      </c>
      <c r="D82">
        <v>-3.45</v>
      </c>
      <c r="E82">
        <v>4.84</v>
      </c>
      <c r="F82">
        <v>7.67</v>
      </c>
      <c r="G82">
        <v>9.91</v>
      </c>
      <c r="H82">
        <v>12.7</v>
      </c>
      <c r="I82">
        <v>15.86</v>
      </c>
      <c r="J82">
        <v>9.02</v>
      </c>
      <c r="K82">
        <v>3.66</v>
      </c>
      <c r="L82">
        <v>-0.5</v>
      </c>
      <c r="M82">
        <v>-4.43</v>
      </c>
      <c r="N82">
        <v>-3.38</v>
      </c>
      <c r="O82">
        <v>3.02</v>
      </c>
      <c r="P82">
        <v>12.82</v>
      </c>
      <c r="Q82">
        <v>4.0599999999999996</v>
      </c>
      <c r="R82">
        <v>-1.2</v>
      </c>
      <c r="S82">
        <v>10</v>
      </c>
      <c r="T82">
        <v>3.95</v>
      </c>
    </row>
    <row r="83" spans="1:20" hidden="1" x14ac:dyDescent="0.3">
      <c r="A83">
        <v>1945</v>
      </c>
      <c r="B83">
        <v>-8.83</v>
      </c>
      <c r="C83">
        <v>-0.01</v>
      </c>
      <c r="D83">
        <v>1.32</v>
      </c>
      <c r="E83">
        <v>5.0999999999999996</v>
      </c>
      <c r="F83">
        <v>9.58</v>
      </c>
      <c r="G83">
        <v>13.09</v>
      </c>
      <c r="H83">
        <v>14.56</v>
      </c>
      <c r="I83">
        <v>12.02</v>
      </c>
      <c r="J83">
        <v>10.220000000000001</v>
      </c>
      <c r="K83">
        <v>5.17</v>
      </c>
      <c r="L83">
        <v>-0.61</v>
      </c>
      <c r="M83">
        <v>-2.76</v>
      </c>
      <c r="N83">
        <v>-4.42</v>
      </c>
      <c r="O83">
        <v>5.34</v>
      </c>
      <c r="P83">
        <v>13.22</v>
      </c>
      <c r="Q83">
        <v>4.93</v>
      </c>
      <c r="R83">
        <v>-1.46</v>
      </c>
      <c r="S83">
        <v>10.76</v>
      </c>
      <c r="T83">
        <v>4.91</v>
      </c>
    </row>
    <row r="84" spans="1:20" hidden="1" x14ac:dyDescent="0.3">
      <c r="A84">
        <v>1946</v>
      </c>
      <c r="B84">
        <v>-4.78</v>
      </c>
      <c r="C84">
        <v>-1.32</v>
      </c>
      <c r="D84">
        <v>1.2</v>
      </c>
      <c r="E84">
        <v>6.23</v>
      </c>
      <c r="F84">
        <v>8.5299999999999994</v>
      </c>
      <c r="G84">
        <v>10.029999999999999</v>
      </c>
      <c r="H84">
        <v>13.86</v>
      </c>
      <c r="I84">
        <v>12.33</v>
      </c>
      <c r="J84">
        <v>10.73</v>
      </c>
      <c r="K84">
        <v>4.43</v>
      </c>
      <c r="L84">
        <v>0.4</v>
      </c>
      <c r="M84">
        <v>-4.75</v>
      </c>
      <c r="N84">
        <v>-2.95</v>
      </c>
      <c r="O84">
        <v>5.32</v>
      </c>
      <c r="P84">
        <v>12.07</v>
      </c>
      <c r="Q84">
        <v>5.19</v>
      </c>
      <c r="R84">
        <v>-0.52</v>
      </c>
      <c r="S84">
        <v>10.28</v>
      </c>
      <c r="T84">
        <v>4.74</v>
      </c>
    </row>
    <row r="85" spans="1:20" hidden="1" x14ac:dyDescent="0.3">
      <c r="A85">
        <v>1947</v>
      </c>
      <c r="B85">
        <v>-6.46</v>
      </c>
      <c r="C85">
        <v>-4.62</v>
      </c>
      <c r="D85">
        <v>0.99</v>
      </c>
      <c r="E85">
        <v>6.27</v>
      </c>
      <c r="F85">
        <v>9.9600000000000009</v>
      </c>
      <c r="G85">
        <v>13.25</v>
      </c>
      <c r="H85">
        <v>15.17</v>
      </c>
      <c r="I85">
        <v>15.18</v>
      </c>
      <c r="J85">
        <v>12</v>
      </c>
      <c r="K85">
        <v>6.31</v>
      </c>
      <c r="L85">
        <v>2.4</v>
      </c>
      <c r="M85">
        <v>-3.07</v>
      </c>
      <c r="N85">
        <v>-5.27</v>
      </c>
      <c r="O85">
        <v>5.74</v>
      </c>
      <c r="P85">
        <v>14.53</v>
      </c>
      <c r="Q85">
        <v>6.9</v>
      </c>
      <c r="R85">
        <v>-1.67</v>
      </c>
      <c r="S85">
        <v>11.97</v>
      </c>
      <c r="T85">
        <v>5.61</v>
      </c>
    </row>
    <row r="86" spans="1:20" hidden="1" x14ac:dyDescent="0.3">
      <c r="A86">
        <v>1948</v>
      </c>
      <c r="B86">
        <v>-0.78</v>
      </c>
      <c r="C86">
        <v>-2.57</v>
      </c>
      <c r="D86">
        <v>3.58</v>
      </c>
      <c r="E86">
        <v>4.2699999999999996</v>
      </c>
      <c r="F86">
        <v>9</v>
      </c>
      <c r="G86">
        <v>10.119999999999999</v>
      </c>
      <c r="H86">
        <v>10.47</v>
      </c>
      <c r="I86">
        <v>12.46</v>
      </c>
      <c r="J86">
        <v>9.81</v>
      </c>
      <c r="K86">
        <v>6.3</v>
      </c>
      <c r="L86">
        <v>2.48</v>
      </c>
      <c r="M86">
        <v>-1.82</v>
      </c>
      <c r="N86">
        <v>-2.14</v>
      </c>
      <c r="O86">
        <v>5.62</v>
      </c>
      <c r="P86">
        <v>11.02</v>
      </c>
      <c r="Q86">
        <v>6.2</v>
      </c>
      <c r="R86">
        <v>0.98</v>
      </c>
      <c r="S86">
        <v>9.36</v>
      </c>
      <c r="T86">
        <v>5.28</v>
      </c>
    </row>
    <row r="87" spans="1:20" hidden="1" x14ac:dyDescent="0.3">
      <c r="A87">
        <v>1949</v>
      </c>
      <c r="B87">
        <v>-2.4300000000000002</v>
      </c>
      <c r="C87">
        <v>-1.92</v>
      </c>
      <c r="D87">
        <v>-1.89</v>
      </c>
      <c r="E87">
        <v>6.61</v>
      </c>
      <c r="F87">
        <v>6.63</v>
      </c>
      <c r="G87">
        <v>11</v>
      </c>
      <c r="H87">
        <v>14.5</v>
      </c>
      <c r="I87">
        <v>13.51</v>
      </c>
      <c r="J87">
        <v>12.7</v>
      </c>
      <c r="K87">
        <v>7.55</v>
      </c>
      <c r="L87">
        <v>-0.3</v>
      </c>
      <c r="M87">
        <v>-0.85</v>
      </c>
      <c r="N87">
        <v>-2.06</v>
      </c>
      <c r="O87">
        <v>3.78</v>
      </c>
      <c r="P87">
        <v>13</v>
      </c>
      <c r="Q87">
        <v>6.65</v>
      </c>
      <c r="R87">
        <v>0.12</v>
      </c>
      <c r="S87">
        <v>10.82</v>
      </c>
      <c r="T87">
        <v>5.43</v>
      </c>
    </row>
    <row r="88" spans="1:20" hidden="1" x14ac:dyDescent="0.3">
      <c r="A88">
        <v>1950</v>
      </c>
      <c r="B88">
        <v>-3.49</v>
      </c>
      <c r="C88">
        <v>-0.8</v>
      </c>
      <c r="D88">
        <v>1.1100000000000001</v>
      </c>
      <c r="E88">
        <v>1.83</v>
      </c>
      <c r="F88">
        <v>9.18</v>
      </c>
      <c r="G88">
        <v>13.68</v>
      </c>
      <c r="H88">
        <v>15.49</v>
      </c>
      <c r="I88">
        <v>13.28</v>
      </c>
      <c r="J88">
        <v>9.25</v>
      </c>
      <c r="K88">
        <v>5.31</v>
      </c>
      <c r="L88">
        <v>0.55000000000000004</v>
      </c>
      <c r="M88">
        <v>-5.07</v>
      </c>
      <c r="N88">
        <v>-1.71</v>
      </c>
      <c r="O88">
        <v>4.04</v>
      </c>
      <c r="P88">
        <v>14.15</v>
      </c>
      <c r="Q88">
        <v>5.03</v>
      </c>
      <c r="R88">
        <v>0.54</v>
      </c>
      <c r="S88">
        <v>10.45</v>
      </c>
      <c r="T88">
        <v>5.03</v>
      </c>
    </row>
    <row r="89" spans="1:20" hidden="1" x14ac:dyDescent="0.3">
      <c r="A89">
        <v>1951</v>
      </c>
      <c r="B89">
        <v>-2.4700000000000002</v>
      </c>
      <c r="C89">
        <v>-2.5299999999999998</v>
      </c>
      <c r="D89">
        <v>-1.34</v>
      </c>
      <c r="E89">
        <v>2.92</v>
      </c>
      <c r="F89">
        <v>6.9</v>
      </c>
      <c r="G89">
        <v>10.74</v>
      </c>
      <c r="H89">
        <v>13.32</v>
      </c>
      <c r="I89">
        <v>12.5</v>
      </c>
      <c r="J89">
        <v>10.9</v>
      </c>
      <c r="K89">
        <v>4.95</v>
      </c>
      <c r="L89">
        <v>2.0699999999999998</v>
      </c>
      <c r="M89">
        <v>-1.37</v>
      </c>
      <c r="N89">
        <v>-3.36</v>
      </c>
      <c r="O89">
        <v>2.83</v>
      </c>
      <c r="P89">
        <v>12.19</v>
      </c>
      <c r="Q89">
        <v>5.97</v>
      </c>
      <c r="R89">
        <v>-0.93</v>
      </c>
      <c r="S89">
        <v>9.5500000000000007</v>
      </c>
      <c r="T89">
        <v>4.72</v>
      </c>
    </row>
    <row r="90" spans="1:20" hidden="1" x14ac:dyDescent="0.3">
      <c r="A90">
        <v>1952</v>
      </c>
      <c r="B90">
        <v>-4.8</v>
      </c>
      <c r="C90">
        <v>-4.9400000000000004</v>
      </c>
      <c r="D90">
        <v>0.94</v>
      </c>
      <c r="E90">
        <v>5.38</v>
      </c>
      <c r="F90">
        <v>8.3800000000000008</v>
      </c>
      <c r="G90">
        <v>12.6</v>
      </c>
      <c r="H90">
        <v>15.94</v>
      </c>
      <c r="I90">
        <v>13.7</v>
      </c>
      <c r="J90">
        <v>6.5</v>
      </c>
      <c r="K90">
        <v>4.1900000000000004</v>
      </c>
      <c r="L90">
        <v>-1.48</v>
      </c>
      <c r="M90">
        <v>-3.34</v>
      </c>
      <c r="N90">
        <v>-3.7</v>
      </c>
      <c r="O90">
        <v>4.9000000000000004</v>
      </c>
      <c r="P90">
        <v>14.08</v>
      </c>
      <c r="Q90">
        <v>3.07</v>
      </c>
      <c r="R90">
        <v>-0.52</v>
      </c>
      <c r="S90">
        <v>10.42</v>
      </c>
      <c r="T90">
        <v>4.42</v>
      </c>
    </row>
    <row r="91" spans="1:20" hidden="1" x14ac:dyDescent="0.3">
      <c r="A91">
        <v>1953</v>
      </c>
      <c r="B91">
        <v>-5.94</v>
      </c>
      <c r="C91">
        <v>-4.37</v>
      </c>
      <c r="D91">
        <v>0.72</v>
      </c>
      <c r="E91">
        <v>4.57</v>
      </c>
      <c r="F91">
        <v>8.99</v>
      </c>
      <c r="G91">
        <v>9.74</v>
      </c>
      <c r="H91">
        <v>13.29</v>
      </c>
      <c r="I91">
        <v>12.87</v>
      </c>
      <c r="J91">
        <v>10.73</v>
      </c>
      <c r="K91">
        <v>6.79</v>
      </c>
      <c r="L91">
        <v>1.74</v>
      </c>
      <c r="M91">
        <v>-0.33</v>
      </c>
      <c r="N91">
        <v>-4.55</v>
      </c>
      <c r="O91">
        <v>4.76</v>
      </c>
      <c r="P91">
        <v>11.96</v>
      </c>
      <c r="Q91">
        <v>6.42</v>
      </c>
      <c r="R91">
        <v>-1.7</v>
      </c>
      <c r="S91">
        <v>10.029999999999999</v>
      </c>
      <c r="T91">
        <v>4.9000000000000004</v>
      </c>
    </row>
    <row r="92" spans="1:20" hidden="1" x14ac:dyDescent="0.3">
      <c r="A92">
        <v>1954</v>
      </c>
      <c r="B92">
        <v>-6.07</v>
      </c>
      <c r="C92">
        <v>-4.22</v>
      </c>
      <c r="D92">
        <v>1.02</v>
      </c>
      <c r="E92">
        <v>1.79</v>
      </c>
      <c r="F92">
        <v>6.68</v>
      </c>
      <c r="G92">
        <v>11.21</v>
      </c>
      <c r="H92">
        <v>10.59</v>
      </c>
      <c r="I92">
        <v>11.08</v>
      </c>
      <c r="J92">
        <v>9.93</v>
      </c>
      <c r="K92">
        <v>5.64</v>
      </c>
      <c r="L92">
        <v>1.54</v>
      </c>
      <c r="M92">
        <v>-0.83</v>
      </c>
      <c r="N92">
        <v>-3.54</v>
      </c>
      <c r="O92">
        <v>3.17</v>
      </c>
      <c r="P92">
        <v>10.96</v>
      </c>
      <c r="Q92">
        <v>5.71</v>
      </c>
      <c r="R92">
        <v>-0.18</v>
      </c>
      <c r="S92">
        <v>8.5500000000000007</v>
      </c>
      <c r="T92">
        <v>4.03</v>
      </c>
    </row>
    <row r="93" spans="1:20" hidden="1" x14ac:dyDescent="0.3">
      <c r="A93">
        <v>1955</v>
      </c>
      <c r="B93">
        <v>-1.94</v>
      </c>
      <c r="C93">
        <v>-3.76</v>
      </c>
      <c r="D93">
        <v>-1.95</v>
      </c>
      <c r="E93">
        <v>3.27</v>
      </c>
      <c r="F93">
        <v>6.56</v>
      </c>
      <c r="G93">
        <v>10.77</v>
      </c>
      <c r="H93">
        <v>12.64</v>
      </c>
      <c r="I93">
        <v>11.66</v>
      </c>
      <c r="J93">
        <v>8.99</v>
      </c>
      <c r="K93">
        <v>3.98</v>
      </c>
      <c r="L93">
        <v>-0.05</v>
      </c>
      <c r="M93">
        <v>0.08</v>
      </c>
      <c r="N93">
        <v>-2.1800000000000002</v>
      </c>
      <c r="O93">
        <v>2.63</v>
      </c>
      <c r="P93">
        <v>11.69</v>
      </c>
      <c r="Q93">
        <v>4.3099999999999996</v>
      </c>
      <c r="R93">
        <v>-0.21</v>
      </c>
      <c r="S93">
        <v>8.98</v>
      </c>
      <c r="T93">
        <v>4.1900000000000004</v>
      </c>
    </row>
    <row r="94" spans="1:20" hidden="1" x14ac:dyDescent="0.3">
      <c r="A94">
        <v>1956</v>
      </c>
      <c r="B94">
        <v>-2.09</v>
      </c>
      <c r="C94">
        <v>-11.94</v>
      </c>
      <c r="D94">
        <v>-0.65</v>
      </c>
      <c r="E94">
        <v>1.51</v>
      </c>
      <c r="F94">
        <v>7.9</v>
      </c>
      <c r="G94">
        <v>8.51</v>
      </c>
      <c r="H94">
        <v>12.46</v>
      </c>
      <c r="I94">
        <v>10.95</v>
      </c>
      <c r="J94">
        <v>10.88</v>
      </c>
      <c r="K94">
        <v>3.71</v>
      </c>
      <c r="L94">
        <v>-1.41</v>
      </c>
      <c r="M94">
        <v>-2.64</v>
      </c>
      <c r="N94">
        <v>-4.6500000000000004</v>
      </c>
      <c r="O94">
        <v>2.92</v>
      </c>
      <c r="P94">
        <v>10.64</v>
      </c>
      <c r="Q94">
        <v>4.3899999999999997</v>
      </c>
      <c r="R94">
        <v>-1.78</v>
      </c>
      <c r="S94">
        <v>8.6999999999999993</v>
      </c>
      <c r="T94">
        <v>3.1</v>
      </c>
    </row>
    <row r="95" spans="1:20" hidden="1" x14ac:dyDescent="0.3">
      <c r="A95">
        <v>1957</v>
      </c>
      <c r="B95">
        <v>-3.92</v>
      </c>
      <c r="C95">
        <v>-0.16</v>
      </c>
      <c r="D95">
        <v>3.77</v>
      </c>
      <c r="E95">
        <v>3.58</v>
      </c>
      <c r="F95">
        <v>4.92</v>
      </c>
      <c r="G95">
        <v>11.52</v>
      </c>
      <c r="H95">
        <v>12.76</v>
      </c>
      <c r="I95">
        <v>11.41</v>
      </c>
      <c r="J95">
        <v>8.7899999999999991</v>
      </c>
      <c r="K95">
        <v>5.82</v>
      </c>
      <c r="L95">
        <v>1.6</v>
      </c>
      <c r="M95">
        <v>-2.58</v>
      </c>
      <c r="N95">
        <v>-2.2400000000000002</v>
      </c>
      <c r="O95">
        <v>4.09</v>
      </c>
      <c r="P95">
        <v>11.89</v>
      </c>
      <c r="Q95">
        <v>5.4</v>
      </c>
      <c r="R95">
        <v>-0.11</v>
      </c>
      <c r="S95">
        <v>8.83</v>
      </c>
      <c r="T95">
        <v>4.79</v>
      </c>
    </row>
    <row r="96" spans="1:20" hidden="1" x14ac:dyDescent="0.3">
      <c r="A96">
        <v>1958</v>
      </c>
      <c r="B96">
        <v>-3.71</v>
      </c>
      <c r="C96">
        <v>-0.49</v>
      </c>
      <c r="D96">
        <v>-3.32</v>
      </c>
      <c r="E96">
        <v>0.74</v>
      </c>
      <c r="F96">
        <v>9.83</v>
      </c>
      <c r="G96">
        <v>10.24</v>
      </c>
      <c r="H96">
        <v>13.22</v>
      </c>
      <c r="I96">
        <v>13.41</v>
      </c>
      <c r="J96">
        <v>11.58</v>
      </c>
      <c r="K96">
        <v>4.75</v>
      </c>
      <c r="L96">
        <v>0.91</v>
      </c>
      <c r="M96">
        <v>-1.27</v>
      </c>
      <c r="N96">
        <v>-2.2599999999999998</v>
      </c>
      <c r="O96">
        <v>2.42</v>
      </c>
      <c r="P96">
        <v>12.29</v>
      </c>
      <c r="Q96">
        <v>5.75</v>
      </c>
      <c r="R96">
        <v>-0.45</v>
      </c>
      <c r="S96">
        <v>9.84</v>
      </c>
      <c r="T96">
        <v>4.66</v>
      </c>
    </row>
    <row r="97" spans="1:20" hidden="1" x14ac:dyDescent="0.3">
      <c r="A97">
        <v>1959</v>
      </c>
      <c r="B97">
        <v>-3.69</v>
      </c>
      <c r="C97">
        <v>-0.97</v>
      </c>
      <c r="D97">
        <v>2.61</v>
      </c>
      <c r="E97">
        <v>4.34</v>
      </c>
      <c r="F97">
        <v>8.16</v>
      </c>
      <c r="G97">
        <v>11.23</v>
      </c>
      <c r="H97">
        <v>14.69</v>
      </c>
      <c r="I97">
        <v>12.28</v>
      </c>
      <c r="J97">
        <v>11.18</v>
      </c>
      <c r="K97">
        <v>5.17</v>
      </c>
      <c r="L97">
        <v>-0.24</v>
      </c>
      <c r="M97">
        <v>-1.38</v>
      </c>
      <c r="N97">
        <v>-1.98</v>
      </c>
      <c r="O97">
        <v>5.04</v>
      </c>
      <c r="P97">
        <v>12.73</v>
      </c>
      <c r="Q97">
        <v>5.37</v>
      </c>
      <c r="R97">
        <v>0.39</v>
      </c>
      <c r="S97">
        <v>10.31</v>
      </c>
      <c r="T97">
        <v>5.28</v>
      </c>
    </row>
    <row r="98" spans="1:20" hidden="1" x14ac:dyDescent="0.3">
      <c r="A98">
        <v>1960</v>
      </c>
      <c r="B98">
        <v>-3.9</v>
      </c>
      <c r="C98">
        <v>-1.6</v>
      </c>
      <c r="D98">
        <v>1.21</v>
      </c>
      <c r="E98">
        <v>3.2</v>
      </c>
      <c r="F98">
        <v>8.85</v>
      </c>
      <c r="G98">
        <v>11.95</v>
      </c>
      <c r="H98">
        <v>10.8</v>
      </c>
      <c r="I98">
        <v>11.73</v>
      </c>
      <c r="J98">
        <v>7.94</v>
      </c>
      <c r="K98">
        <v>4.1900000000000004</v>
      </c>
      <c r="L98">
        <v>1.63</v>
      </c>
      <c r="M98">
        <v>-3.03</v>
      </c>
      <c r="N98">
        <v>-2.29</v>
      </c>
      <c r="O98">
        <v>4.42</v>
      </c>
      <c r="P98">
        <v>11.49</v>
      </c>
      <c r="Q98">
        <v>4.59</v>
      </c>
      <c r="R98">
        <v>-0.12</v>
      </c>
      <c r="S98">
        <v>9.08</v>
      </c>
      <c r="T98">
        <v>4.42</v>
      </c>
    </row>
    <row r="99" spans="1:20" hidden="1" x14ac:dyDescent="0.3">
      <c r="A99">
        <v>1961</v>
      </c>
      <c r="B99">
        <v>-3.14</v>
      </c>
      <c r="C99">
        <v>0.77</v>
      </c>
      <c r="D99">
        <v>1.78</v>
      </c>
      <c r="E99">
        <v>6.11</v>
      </c>
      <c r="F99">
        <v>6.21</v>
      </c>
      <c r="G99">
        <v>11.67</v>
      </c>
      <c r="H99">
        <v>11.61</v>
      </c>
      <c r="I99">
        <v>12.29</v>
      </c>
      <c r="J99">
        <v>13.32</v>
      </c>
      <c r="K99">
        <v>6.43</v>
      </c>
      <c r="L99">
        <v>0.69</v>
      </c>
      <c r="M99">
        <v>-1.38</v>
      </c>
      <c r="N99">
        <v>-1.8</v>
      </c>
      <c r="O99">
        <v>4.7</v>
      </c>
      <c r="P99">
        <v>11.86</v>
      </c>
      <c r="Q99">
        <v>6.81</v>
      </c>
      <c r="R99">
        <v>0.37</v>
      </c>
      <c r="S99">
        <v>10.199999999999999</v>
      </c>
      <c r="T99">
        <v>5.53</v>
      </c>
    </row>
    <row r="100" spans="1:20" hidden="1" x14ac:dyDescent="0.3">
      <c r="A100">
        <v>1962</v>
      </c>
      <c r="B100">
        <v>-2.4</v>
      </c>
      <c r="C100">
        <v>-3.74</v>
      </c>
      <c r="D100">
        <v>-3.48</v>
      </c>
      <c r="E100">
        <v>2.81</v>
      </c>
      <c r="F100">
        <v>5.61</v>
      </c>
      <c r="G100">
        <v>10.06</v>
      </c>
      <c r="H100">
        <v>12.14</v>
      </c>
      <c r="I100">
        <v>14.25</v>
      </c>
      <c r="J100">
        <v>9.66</v>
      </c>
      <c r="K100">
        <v>6.12</v>
      </c>
      <c r="L100">
        <v>-1.2</v>
      </c>
      <c r="M100">
        <v>-5.39</v>
      </c>
      <c r="N100">
        <v>-2.5099999999999998</v>
      </c>
      <c r="O100">
        <v>1.65</v>
      </c>
      <c r="P100">
        <v>12.15</v>
      </c>
      <c r="Q100">
        <v>4.8600000000000003</v>
      </c>
      <c r="R100">
        <v>-0.65</v>
      </c>
      <c r="S100">
        <v>9.09</v>
      </c>
      <c r="T100">
        <v>3.7</v>
      </c>
    </row>
    <row r="101" spans="1:20" hidden="1" x14ac:dyDescent="0.3">
      <c r="A101">
        <v>1963</v>
      </c>
      <c r="B101">
        <v>-8.59</v>
      </c>
      <c r="C101">
        <v>-7.22</v>
      </c>
      <c r="D101">
        <v>-0.93</v>
      </c>
      <c r="E101">
        <v>4.1399999999999997</v>
      </c>
      <c r="F101">
        <v>6.75</v>
      </c>
      <c r="G101">
        <v>10.67</v>
      </c>
      <c r="H101">
        <v>13.87</v>
      </c>
      <c r="I101">
        <v>11.32</v>
      </c>
      <c r="J101">
        <v>9.98</v>
      </c>
      <c r="K101">
        <v>5.74</v>
      </c>
      <c r="L101">
        <v>3.05</v>
      </c>
      <c r="M101">
        <v>-4.26</v>
      </c>
      <c r="N101">
        <v>-7.07</v>
      </c>
      <c r="O101">
        <v>3.32</v>
      </c>
      <c r="P101">
        <v>11.95</v>
      </c>
      <c r="Q101">
        <v>6.26</v>
      </c>
      <c r="R101">
        <v>-2.87</v>
      </c>
      <c r="S101">
        <v>9.4499999999999993</v>
      </c>
      <c r="T101">
        <v>3.71</v>
      </c>
    </row>
    <row r="102" spans="1:20" hidden="1" x14ac:dyDescent="0.3">
      <c r="A102">
        <v>1964</v>
      </c>
      <c r="B102">
        <v>-3.82</v>
      </c>
      <c r="C102">
        <v>-1.47</v>
      </c>
      <c r="D102">
        <v>-0.8</v>
      </c>
      <c r="E102">
        <v>4.4800000000000004</v>
      </c>
      <c r="F102">
        <v>9.24</v>
      </c>
      <c r="G102">
        <v>12.34</v>
      </c>
      <c r="H102">
        <v>14.57</v>
      </c>
      <c r="I102">
        <v>12.06</v>
      </c>
      <c r="J102">
        <v>10.37</v>
      </c>
      <c r="K102">
        <v>3.41</v>
      </c>
      <c r="L102">
        <v>2.0099999999999998</v>
      </c>
      <c r="M102">
        <v>-3.25</v>
      </c>
      <c r="N102">
        <v>-3.19</v>
      </c>
      <c r="O102">
        <v>4.3</v>
      </c>
      <c r="P102">
        <v>12.99</v>
      </c>
      <c r="Q102">
        <v>5.27</v>
      </c>
      <c r="R102">
        <v>-0.26</v>
      </c>
      <c r="S102">
        <v>10.51</v>
      </c>
      <c r="T102">
        <v>4.93</v>
      </c>
    </row>
    <row r="103" spans="1:20" hidden="1" x14ac:dyDescent="0.3">
      <c r="A103">
        <v>1965</v>
      </c>
      <c r="B103">
        <v>-2.98</v>
      </c>
      <c r="C103">
        <v>-6.97</v>
      </c>
      <c r="D103">
        <v>-0.63</v>
      </c>
      <c r="E103">
        <v>1.7</v>
      </c>
      <c r="F103">
        <v>6.7</v>
      </c>
      <c r="G103">
        <v>11.41</v>
      </c>
      <c r="H103">
        <v>11.37</v>
      </c>
      <c r="I103">
        <v>11.3</v>
      </c>
      <c r="J103">
        <v>7.65</v>
      </c>
      <c r="K103">
        <v>6.34</v>
      </c>
      <c r="L103">
        <v>-0.15</v>
      </c>
      <c r="M103">
        <v>-1.54</v>
      </c>
      <c r="N103">
        <v>-4.4000000000000004</v>
      </c>
      <c r="O103">
        <v>2.59</v>
      </c>
      <c r="P103">
        <v>11.36</v>
      </c>
      <c r="Q103">
        <v>4.6100000000000003</v>
      </c>
      <c r="R103">
        <v>-1.4</v>
      </c>
      <c r="S103">
        <v>8.36</v>
      </c>
      <c r="T103">
        <v>3.68</v>
      </c>
    </row>
    <row r="104" spans="1:20" hidden="1" x14ac:dyDescent="0.3">
      <c r="A104">
        <v>1966</v>
      </c>
      <c r="B104">
        <v>-5.19</v>
      </c>
      <c r="C104">
        <v>1.47</v>
      </c>
      <c r="D104">
        <v>-1.48</v>
      </c>
      <c r="E104">
        <v>4.6900000000000004</v>
      </c>
      <c r="F104">
        <v>7.93</v>
      </c>
      <c r="G104">
        <v>11.86</v>
      </c>
      <c r="H104">
        <v>11.07</v>
      </c>
      <c r="I104">
        <v>11.09</v>
      </c>
      <c r="J104">
        <v>11.21</v>
      </c>
      <c r="K104">
        <v>7.55</v>
      </c>
      <c r="L104">
        <v>-1.93</v>
      </c>
      <c r="M104">
        <v>-2.61</v>
      </c>
      <c r="N104">
        <v>-1.75</v>
      </c>
      <c r="O104">
        <v>3.71</v>
      </c>
      <c r="P104">
        <v>11.34</v>
      </c>
      <c r="Q104">
        <v>5.61</v>
      </c>
      <c r="R104">
        <v>-0.09</v>
      </c>
      <c r="S104">
        <v>9.64</v>
      </c>
      <c r="T104">
        <v>4.6399999999999997</v>
      </c>
    </row>
    <row r="105" spans="1:20" hidden="1" x14ac:dyDescent="0.3">
      <c r="A105">
        <v>1967</v>
      </c>
      <c r="B105">
        <v>-3.69</v>
      </c>
      <c r="C105">
        <v>-1.76</v>
      </c>
      <c r="D105">
        <v>0.8</v>
      </c>
      <c r="E105">
        <v>2.11</v>
      </c>
      <c r="F105">
        <v>7.11</v>
      </c>
      <c r="G105">
        <v>9.8699999999999992</v>
      </c>
      <c r="H105">
        <v>14.69</v>
      </c>
      <c r="I105">
        <v>12.55</v>
      </c>
      <c r="J105">
        <v>9.18</v>
      </c>
      <c r="K105">
        <v>7.93</v>
      </c>
      <c r="L105">
        <v>1.94</v>
      </c>
      <c r="M105">
        <v>-4.24</v>
      </c>
      <c r="N105">
        <v>-2.69</v>
      </c>
      <c r="O105">
        <v>3.34</v>
      </c>
      <c r="P105">
        <v>12.37</v>
      </c>
      <c r="Q105">
        <v>6.35</v>
      </c>
      <c r="R105">
        <v>-0.27</v>
      </c>
      <c r="S105">
        <v>9.25</v>
      </c>
      <c r="T105">
        <v>4.71</v>
      </c>
    </row>
    <row r="106" spans="1:20" hidden="1" x14ac:dyDescent="0.3">
      <c r="A106">
        <v>1968</v>
      </c>
      <c r="B106">
        <v>-4.54</v>
      </c>
      <c r="C106">
        <v>-2.0299999999999998</v>
      </c>
      <c r="D106">
        <v>0.02</v>
      </c>
      <c r="E106">
        <v>4.5</v>
      </c>
      <c r="F106">
        <v>6.68</v>
      </c>
      <c r="G106">
        <v>10.73</v>
      </c>
      <c r="H106">
        <v>12.35</v>
      </c>
      <c r="I106">
        <v>10.73</v>
      </c>
      <c r="J106">
        <v>8.6199999999999992</v>
      </c>
      <c r="K106">
        <v>7.66</v>
      </c>
      <c r="L106">
        <v>1.24</v>
      </c>
      <c r="M106">
        <v>-3.86</v>
      </c>
      <c r="N106">
        <v>-3.61</v>
      </c>
      <c r="O106">
        <v>3.73</v>
      </c>
      <c r="P106">
        <v>11.27</v>
      </c>
      <c r="Q106">
        <v>5.84</v>
      </c>
      <c r="R106">
        <v>-0.15</v>
      </c>
      <c r="S106">
        <v>8.93</v>
      </c>
      <c r="T106">
        <v>4.34</v>
      </c>
    </row>
    <row r="107" spans="1:20" hidden="1" x14ac:dyDescent="0.3">
      <c r="A107">
        <v>1969</v>
      </c>
      <c r="B107">
        <v>-2.48</v>
      </c>
      <c r="C107">
        <v>-5.65</v>
      </c>
      <c r="D107">
        <v>-0.39</v>
      </c>
      <c r="E107">
        <v>2.62</v>
      </c>
      <c r="F107">
        <v>8.66</v>
      </c>
      <c r="G107">
        <v>8.8800000000000008</v>
      </c>
      <c r="H107">
        <v>13.76</v>
      </c>
      <c r="I107">
        <v>11.53</v>
      </c>
      <c r="J107">
        <v>10.56</v>
      </c>
      <c r="K107">
        <v>7.33</v>
      </c>
      <c r="L107">
        <v>0.67</v>
      </c>
      <c r="M107">
        <v>-6.59</v>
      </c>
      <c r="N107">
        <v>-3.99</v>
      </c>
      <c r="O107">
        <v>3.63</v>
      </c>
      <c r="P107">
        <v>11.39</v>
      </c>
      <c r="Q107">
        <v>6.19</v>
      </c>
      <c r="R107">
        <v>-0.57999999999999996</v>
      </c>
      <c r="S107">
        <v>9.34</v>
      </c>
      <c r="T107">
        <v>4.08</v>
      </c>
    </row>
    <row r="108" spans="1:20" hidden="1" x14ac:dyDescent="0.3">
      <c r="A108">
        <v>1970</v>
      </c>
      <c r="B108">
        <v>-2.86</v>
      </c>
      <c r="C108">
        <v>-3.87</v>
      </c>
      <c r="D108">
        <v>-3.12</v>
      </c>
      <c r="E108">
        <v>0.66</v>
      </c>
      <c r="F108">
        <v>6.09</v>
      </c>
      <c r="G108">
        <v>11.99</v>
      </c>
      <c r="H108">
        <v>12.54</v>
      </c>
      <c r="I108">
        <v>12.65</v>
      </c>
      <c r="J108">
        <v>10.83</v>
      </c>
      <c r="K108">
        <v>5.19</v>
      </c>
      <c r="L108">
        <v>2.39</v>
      </c>
      <c r="M108">
        <v>-3.63</v>
      </c>
      <c r="N108">
        <v>-4.4400000000000004</v>
      </c>
      <c r="O108">
        <v>1.21</v>
      </c>
      <c r="P108">
        <v>12.39</v>
      </c>
      <c r="Q108">
        <v>6.14</v>
      </c>
      <c r="R108">
        <v>-1.4</v>
      </c>
      <c r="S108">
        <v>9.1300000000000008</v>
      </c>
      <c r="T108">
        <v>4.07</v>
      </c>
    </row>
    <row r="109" spans="1:20" hidden="1" x14ac:dyDescent="0.3">
      <c r="A109">
        <v>1971</v>
      </c>
      <c r="B109">
        <v>-3.98</v>
      </c>
      <c r="C109">
        <v>-3.28</v>
      </c>
      <c r="D109">
        <v>-4.0599999999999996</v>
      </c>
      <c r="E109">
        <v>5.51</v>
      </c>
      <c r="F109">
        <v>8.91</v>
      </c>
      <c r="G109">
        <v>9.2100000000000009</v>
      </c>
      <c r="H109">
        <v>14.32</v>
      </c>
      <c r="I109">
        <v>14.01</v>
      </c>
      <c r="J109">
        <v>9.0399999999999991</v>
      </c>
      <c r="K109">
        <v>6.84</v>
      </c>
      <c r="L109">
        <v>-0.49</v>
      </c>
      <c r="M109">
        <v>-0.59</v>
      </c>
      <c r="N109">
        <v>-3.63</v>
      </c>
      <c r="O109">
        <v>3.46</v>
      </c>
      <c r="P109">
        <v>12.51</v>
      </c>
      <c r="Q109">
        <v>5.13</v>
      </c>
      <c r="R109">
        <v>-1.23</v>
      </c>
      <c r="S109">
        <v>10.17</v>
      </c>
      <c r="T109">
        <v>4.62</v>
      </c>
    </row>
    <row r="110" spans="1:20" hidden="1" x14ac:dyDescent="0.3">
      <c r="A110">
        <v>1972</v>
      </c>
      <c r="B110">
        <v>-3.29</v>
      </c>
      <c r="C110">
        <v>-0.5</v>
      </c>
      <c r="D110">
        <v>1.85</v>
      </c>
      <c r="E110">
        <v>2.5</v>
      </c>
      <c r="F110">
        <v>6.47</v>
      </c>
      <c r="G110">
        <v>9.59</v>
      </c>
      <c r="H110">
        <v>12.28</v>
      </c>
      <c r="I110">
        <v>11.71</v>
      </c>
      <c r="J110">
        <v>6.57</v>
      </c>
      <c r="K110">
        <v>4.42</v>
      </c>
      <c r="L110">
        <v>1.1000000000000001</v>
      </c>
      <c r="M110">
        <v>-1.85</v>
      </c>
      <c r="N110">
        <v>-1.46</v>
      </c>
      <c r="O110">
        <v>3.61</v>
      </c>
      <c r="P110">
        <v>11.19</v>
      </c>
      <c r="Q110">
        <v>4.03</v>
      </c>
      <c r="R110">
        <v>0.64</v>
      </c>
      <c r="S110">
        <v>8.19</v>
      </c>
      <c r="T110">
        <v>4.24</v>
      </c>
    </row>
    <row r="111" spans="1:20" hidden="1" x14ac:dyDescent="0.3">
      <c r="A111">
        <v>1973</v>
      </c>
      <c r="B111">
        <v>-2.99</v>
      </c>
      <c r="C111">
        <v>-4.3899999999999997</v>
      </c>
      <c r="D111">
        <v>-1.35</v>
      </c>
      <c r="E111">
        <v>0.06</v>
      </c>
      <c r="F111">
        <v>8.49</v>
      </c>
      <c r="G111">
        <v>11.52</v>
      </c>
      <c r="H111">
        <v>12.2</v>
      </c>
      <c r="I111">
        <v>14.36</v>
      </c>
      <c r="J111">
        <v>10.75</v>
      </c>
      <c r="K111">
        <v>4.51</v>
      </c>
      <c r="L111">
        <v>0.71</v>
      </c>
      <c r="M111">
        <v>-2.81</v>
      </c>
      <c r="N111">
        <v>-3.08</v>
      </c>
      <c r="O111">
        <v>2.4</v>
      </c>
      <c r="P111">
        <v>12.69</v>
      </c>
      <c r="Q111">
        <v>5.32</v>
      </c>
      <c r="R111">
        <v>-0.84</v>
      </c>
      <c r="S111">
        <v>9.56</v>
      </c>
      <c r="T111">
        <v>4.25</v>
      </c>
    </row>
    <row r="112" spans="1:20" hidden="1" x14ac:dyDescent="0.3">
      <c r="A112">
        <v>1974</v>
      </c>
      <c r="B112">
        <v>-0.28999999999999998</v>
      </c>
      <c r="C112">
        <v>-1.19</v>
      </c>
      <c r="D112">
        <v>1.77</v>
      </c>
      <c r="E112">
        <v>3.18</v>
      </c>
      <c r="F112">
        <v>6.56</v>
      </c>
      <c r="G112">
        <v>9.31</v>
      </c>
      <c r="H112">
        <v>12.23</v>
      </c>
      <c r="I112">
        <v>13.63</v>
      </c>
      <c r="J112">
        <v>8.9600000000000009</v>
      </c>
      <c r="K112">
        <v>-0.27</v>
      </c>
      <c r="L112">
        <v>0.31</v>
      </c>
      <c r="M112">
        <v>-0.35</v>
      </c>
      <c r="N112">
        <v>-1.43</v>
      </c>
      <c r="O112">
        <v>3.84</v>
      </c>
      <c r="P112">
        <v>11.72</v>
      </c>
      <c r="Q112">
        <v>3</v>
      </c>
      <c r="R112">
        <v>0.45</v>
      </c>
      <c r="S112">
        <v>8.98</v>
      </c>
      <c r="T112">
        <v>4.49</v>
      </c>
    </row>
    <row r="113" spans="1:20" hidden="1" x14ac:dyDescent="0.3">
      <c r="A113">
        <v>1975</v>
      </c>
      <c r="B113">
        <v>-0.09</v>
      </c>
      <c r="C113">
        <v>-1.61</v>
      </c>
      <c r="D113">
        <v>-1.29</v>
      </c>
      <c r="E113">
        <v>2.71</v>
      </c>
      <c r="F113">
        <v>7.42</v>
      </c>
      <c r="G113">
        <v>9.41</v>
      </c>
      <c r="H113">
        <v>13.11</v>
      </c>
      <c r="I113">
        <v>12.99</v>
      </c>
      <c r="J113">
        <v>11.56</v>
      </c>
      <c r="K113">
        <v>4.57</v>
      </c>
      <c r="L113">
        <v>0.45</v>
      </c>
      <c r="M113">
        <v>-2.2400000000000002</v>
      </c>
      <c r="N113">
        <v>-0.69</v>
      </c>
      <c r="O113">
        <v>2.95</v>
      </c>
      <c r="P113">
        <v>11.84</v>
      </c>
      <c r="Q113">
        <v>5.52</v>
      </c>
      <c r="R113">
        <v>-0.55000000000000004</v>
      </c>
      <c r="S113">
        <v>9.5299999999999994</v>
      </c>
      <c r="T113">
        <v>4.75</v>
      </c>
    </row>
    <row r="114" spans="1:20" hidden="1" x14ac:dyDescent="0.3">
      <c r="A114">
        <v>1976</v>
      </c>
      <c r="B114">
        <v>-2.7</v>
      </c>
      <c r="C114">
        <v>-1.26</v>
      </c>
      <c r="D114">
        <v>-0.77</v>
      </c>
      <c r="E114">
        <v>3.05</v>
      </c>
      <c r="F114">
        <v>8.5399999999999991</v>
      </c>
      <c r="G114">
        <v>13.14</v>
      </c>
      <c r="H114">
        <v>13.8</v>
      </c>
      <c r="I114">
        <v>11.12</v>
      </c>
      <c r="J114">
        <v>7.99</v>
      </c>
      <c r="K114">
        <v>6.62</v>
      </c>
      <c r="L114">
        <v>0.21</v>
      </c>
      <c r="M114">
        <v>-4.26</v>
      </c>
      <c r="N114">
        <v>-2.0699999999999998</v>
      </c>
      <c r="O114">
        <v>3.61</v>
      </c>
      <c r="P114">
        <v>12.69</v>
      </c>
      <c r="Q114">
        <v>4.9400000000000004</v>
      </c>
      <c r="R114">
        <v>-0.33</v>
      </c>
      <c r="S114">
        <v>9.61</v>
      </c>
      <c r="T114">
        <v>4.62</v>
      </c>
    </row>
    <row r="115" spans="1:20" hidden="1" x14ac:dyDescent="0.3">
      <c r="A115">
        <v>1977</v>
      </c>
      <c r="B115">
        <v>-2.9</v>
      </c>
      <c r="C115">
        <v>-0.3</v>
      </c>
      <c r="D115">
        <v>2.71</v>
      </c>
      <c r="E115">
        <v>1.83</v>
      </c>
      <c r="F115">
        <v>6.8</v>
      </c>
      <c r="G115">
        <v>10.19</v>
      </c>
      <c r="H115">
        <v>12.33</v>
      </c>
      <c r="I115">
        <v>11.05</v>
      </c>
      <c r="J115">
        <v>8.5500000000000007</v>
      </c>
      <c r="K115">
        <v>7.21</v>
      </c>
      <c r="L115">
        <v>0.41</v>
      </c>
      <c r="M115">
        <v>-1.05</v>
      </c>
      <c r="N115">
        <v>-2.48</v>
      </c>
      <c r="O115">
        <v>3.78</v>
      </c>
      <c r="P115">
        <v>11.19</v>
      </c>
      <c r="Q115">
        <v>5.39</v>
      </c>
      <c r="R115">
        <v>0.35</v>
      </c>
      <c r="S115">
        <v>8.4600000000000009</v>
      </c>
      <c r="T115">
        <v>4.74</v>
      </c>
    </row>
    <row r="116" spans="1:20" hidden="1" x14ac:dyDescent="0.3">
      <c r="A116">
        <v>1978</v>
      </c>
      <c r="B116">
        <v>-3.21</v>
      </c>
      <c r="C116">
        <v>-3.26</v>
      </c>
      <c r="D116">
        <v>0.42</v>
      </c>
      <c r="E116">
        <v>1.99</v>
      </c>
      <c r="F116">
        <v>6.03</v>
      </c>
      <c r="G116">
        <v>9.65</v>
      </c>
      <c r="H116">
        <v>11.83</v>
      </c>
      <c r="I116">
        <v>11.32</v>
      </c>
      <c r="J116">
        <v>9.42</v>
      </c>
      <c r="K116">
        <v>5.57</v>
      </c>
      <c r="L116">
        <v>1.1100000000000001</v>
      </c>
      <c r="M116">
        <v>-1.03</v>
      </c>
      <c r="N116">
        <v>-2.5099999999999998</v>
      </c>
      <c r="O116">
        <v>2.81</v>
      </c>
      <c r="P116">
        <v>10.94</v>
      </c>
      <c r="Q116">
        <v>5.37</v>
      </c>
      <c r="R116">
        <v>0.09</v>
      </c>
      <c r="S116">
        <v>8.3699999999999992</v>
      </c>
      <c r="T116">
        <v>4.1500000000000004</v>
      </c>
    </row>
    <row r="117" spans="1:20" hidden="1" x14ac:dyDescent="0.3">
      <c r="A117">
        <v>1979</v>
      </c>
      <c r="B117">
        <v>-5.74</v>
      </c>
      <c r="C117">
        <v>-1.8</v>
      </c>
      <c r="D117">
        <v>0.36</v>
      </c>
      <c r="E117">
        <v>1.18</v>
      </c>
      <c r="F117">
        <v>7.16</v>
      </c>
      <c r="G117">
        <v>11.5</v>
      </c>
      <c r="H117">
        <v>12.65</v>
      </c>
      <c r="I117">
        <v>11.31</v>
      </c>
      <c r="J117">
        <v>9.92</v>
      </c>
      <c r="K117">
        <v>6.95</v>
      </c>
      <c r="L117">
        <v>0.15</v>
      </c>
      <c r="M117">
        <v>-0.45</v>
      </c>
      <c r="N117">
        <v>-2.86</v>
      </c>
      <c r="O117">
        <v>2.9</v>
      </c>
      <c r="P117">
        <v>11.82</v>
      </c>
      <c r="Q117">
        <v>5.67</v>
      </c>
      <c r="R117">
        <v>-0.25</v>
      </c>
      <c r="S117">
        <v>8.9499999999999993</v>
      </c>
      <c r="T117">
        <v>4.43</v>
      </c>
    </row>
    <row r="118" spans="1:20" hidden="1" x14ac:dyDescent="0.3">
      <c r="A118">
        <v>1980</v>
      </c>
      <c r="B118">
        <v>-4.51</v>
      </c>
      <c r="C118">
        <v>-0.76</v>
      </c>
      <c r="D118">
        <v>-0.01</v>
      </c>
      <c r="E118">
        <v>0.69</v>
      </c>
      <c r="F118">
        <v>5.86</v>
      </c>
      <c r="G118">
        <v>9.0500000000000007</v>
      </c>
      <c r="H118">
        <v>10.68</v>
      </c>
      <c r="I118">
        <v>13.41</v>
      </c>
      <c r="J118">
        <v>10.93</v>
      </c>
      <c r="K118">
        <v>4.6500000000000004</v>
      </c>
      <c r="L118">
        <v>0.05</v>
      </c>
      <c r="M118">
        <v>-3.9</v>
      </c>
      <c r="N118">
        <v>-1.91</v>
      </c>
      <c r="O118">
        <v>2.1800000000000002</v>
      </c>
      <c r="P118">
        <v>11.05</v>
      </c>
      <c r="Q118">
        <v>5.21</v>
      </c>
      <c r="R118">
        <v>0.23</v>
      </c>
      <c r="S118">
        <v>8.44</v>
      </c>
      <c r="T118">
        <v>3.85</v>
      </c>
    </row>
    <row r="119" spans="1:20" hidden="1" x14ac:dyDescent="0.3">
      <c r="A119">
        <v>1981</v>
      </c>
      <c r="B119">
        <v>-5.0599999999999996</v>
      </c>
      <c r="C119">
        <v>-4.43</v>
      </c>
      <c r="D119">
        <v>2.61</v>
      </c>
      <c r="E119">
        <v>5.0199999999999996</v>
      </c>
      <c r="F119">
        <v>7.28</v>
      </c>
      <c r="G119">
        <v>11.17</v>
      </c>
      <c r="H119">
        <v>11.75</v>
      </c>
      <c r="I119">
        <v>13.34</v>
      </c>
      <c r="J119">
        <v>10.15</v>
      </c>
      <c r="K119">
        <v>5.12</v>
      </c>
      <c r="L119">
        <v>0.48</v>
      </c>
      <c r="M119">
        <v>-3.6</v>
      </c>
      <c r="N119">
        <v>-4.46</v>
      </c>
      <c r="O119">
        <v>4.97</v>
      </c>
      <c r="P119">
        <v>12.08</v>
      </c>
      <c r="Q119">
        <v>5.25</v>
      </c>
      <c r="R119">
        <v>-1.01</v>
      </c>
      <c r="S119">
        <v>9.7799999999999994</v>
      </c>
      <c r="T119">
        <v>4.4800000000000004</v>
      </c>
    </row>
    <row r="120" spans="1:20" hidden="1" x14ac:dyDescent="0.3">
      <c r="A120">
        <v>1982</v>
      </c>
      <c r="B120">
        <v>-1.81</v>
      </c>
      <c r="C120">
        <v>-2.39</v>
      </c>
      <c r="D120">
        <v>-1.01</v>
      </c>
      <c r="E120">
        <v>2.46</v>
      </c>
      <c r="F120">
        <v>8.01</v>
      </c>
      <c r="G120">
        <v>11.92</v>
      </c>
      <c r="H120">
        <v>14.84</v>
      </c>
      <c r="I120">
        <v>12.39</v>
      </c>
      <c r="J120">
        <v>11.87</v>
      </c>
      <c r="K120">
        <v>5.34</v>
      </c>
      <c r="L120">
        <v>2.2999999999999998</v>
      </c>
      <c r="M120">
        <v>-1.25</v>
      </c>
      <c r="N120">
        <v>-2.6</v>
      </c>
      <c r="O120">
        <v>3.15</v>
      </c>
      <c r="P120">
        <v>13.05</v>
      </c>
      <c r="Q120">
        <v>6.5</v>
      </c>
      <c r="R120">
        <v>-0.54</v>
      </c>
      <c r="S120">
        <v>10.25</v>
      </c>
      <c r="T120">
        <v>5.22</v>
      </c>
    </row>
    <row r="121" spans="1:20" hidden="1" x14ac:dyDescent="0.3">
      <c r="A121">
        <v>1983</v>
      </c>
      <c r="B121">
        <v>-0.63</v>
      </c>
      <c r="C121">
        <v>-5.04</v>
      </c>
      <c r="D121">
        <v>1.04</v>
      </c>
      <c r="E121">
        <v>3.71</v>
      </c>
      <c r="F121">
        <v>5.7</v>
      </c>
      <c r="G121">
        <v>11.83</v>
      </c>
      <c r="H121">
        <v>17.350000000000001</v>
      </c>
      <c r="I121">
        <v>13.35</v>
      </c>
      <c r="J121">
        <v>10.75</v>
      </c>
      <c r="K121">
        <v>6.31</v>
      </c>
      <c r="L121">
        <v>1.38</v>
      </c>
      <c r="M121">
        <v>-1.64</v>
      </c>
      <c r="N121">
        <v>-2.2999999999999998</v>
      </c>
      <c r="O121">
        <v>3.48</v>
      </c>
      <c r="P121">
        <v>14.18</v>
      </c>
      <c r="Q121">
        <v>6.15</v>
      </c>
      <c r="R121">
        <v>0.28999999999999998</v>
      </c>
      <c r="S121">
        <v>10.45</v>
      </c>
      <c r="T121">
        <v>5.34</v>
      </c>
    </row>
    <row r="122" spans="1:20" hidden="1" x14ac:dyDescent="0.3">
      <c r="A122">
        <v>1984</v>
      </c>
      <c r="B122">
        <v>-3.32</v>
      </c>
      <c r="C122">
        <v>-4.75</v>
      </c>
      <c r="D122">
        <v>-2.2999999999999998</v>
      </c>
      <c r="E122">
        <v>2.1800000000000002</v>
      </c>
      <c r="F122">
        <v>4.92</v>
      </c>
      <c r="G122">
        <v>10.28</v>
      </c>
      <c r="H122">
        <v>13.27</v>
      </c>
      <c r="I122">
        <v>12.39</v>
      </c>
      <c r="J122">
        <v>8.23</v>
      </c>
      <c r="K122">
        <v>6.47</v>
      </c>
      <c r="L122">
        <v>3.38</v>
      </c>
      <c r="M122">
        <v>-1.31</v>
      </c>
      <c r="N122">
        <v>-3.24</v>
      </c>
      <c r="O122">
        <v>1.6</v>
      </c>
      <c r="P122">
        <v>11.98</v>
      </c>
      <c r="Q122">
        <v>6.03</v>
      </c>
      <c r="R122">
        <v>-0.72</v>
      </c>
      <c r="S122">
        <v>8.5399999999999991</v>
      </c>
      <c r="T122">
        <v>4.12</v>
      </c>
    </row>
    <row r="123" spans="1:20" hidden="1" x14ac:dyDescent="0.3">
      <c r="A123">
        <v>1985</v>
      </c>
      <c r="B123">
        <v>-8.0500000000000007</v>
      </c>
      <c r="C123">
        <v>-2.75</v>
      </c>
      <c r="D123">
        <v>-1.6</v>
      </c>
      <c r="E123">
        <v>3.29</v>
      </c>
      <c r="F123">
        <v>7.46</v>
      </c>
      <c r="G123">
        <v>9.4499999999999993</v>
      </c>
      <c r="H123">
        <v>14.71</v>
      </c>
      <c r="I123">
        <v>12.91</v>
      </c>
      <c r="J123">
        <v>11.83</v>
      </c>
      <c r="K123">
        <v>7.08</v>
      </c>
      <c r="L123">
        <v>-2.2200000000000002</v>
      </c>
      <c r="M123">
        <v>0.23</v>
      </c>
      <c r="N123">
        <v>-4.04</v>
      </c>
      <c r="O123">
        <v>3.05</v>
      </c>
      <c r="P123">
        <v>12.35</v>
      </c>
      <c r="Q123">
        <v>5.57</v>
      </c>
      <c r="R123">
        <v>-0.64</v>
      </c>
      <c r="S123">
        <v>9.94</v>
      </c>
      <c r="T123">
        <v>4.3600000000000003</v>
      </c>
    </row>
    <row r="124" spans="1:20" hidden="1" x14ac:dyDescent="0.3">
      <c r="A124">
        <v>1986</v>
      </c>
      <c r="B124">
        <v>-3.63</v>
      </c>
      <c r="C124">
        <v>-7.49</v>
      </c>
      <c r="D124">
        <v>-0.15</v>
      </c>
      <c r="E124">
        <v>1.62</v>
      </c>
      <c r="F124">
        <v>9.61</v>
      </c>
      <c r="G124">
        <v>11.41</v>
      </c>
      <c r="H124">
        <v>13.1</v>
      </c>
      <c r="I124">
        <v>12.77</v>
      </c>
      <c r="J124">
        <v>10.51</v>
      </c>
      <c r="K124">
        <v>7.4</v>
      </c>
      <c r="L124">
        <v>2.08</v>
      </c>
      <c r="M124">
        <v>-1.85</v>
      </c>
      <c r="N124">
        <v>-3.63</v>
      </c>
      <c r="O124">
        <v>3.69</v>
      </c>
      <c r="P124">
        <v>12.43</v>
      </c>
      <c r="Q124">
        <v>6.66</v>
      </c>
      <c r="R124">
        <v>-1.03</v>
      </c>
      <c r="S124">
        <v>9.84</v>
      </c>
      <c r="T124">
        <v>4.6100000000000003</v>
      </c>
    </row>
    <row r="125" spans="1:20" hidden="1" x14ac:dyDescent="0.3">
      <c r="A125">
        <v>1987</v>
      </c>
      <c r="B125">
        <v>-6.03</v>
      </c>
      <c r="C125">
        <v>-2.2599999999999998</v>
      </c>
      <c r="D125">
        <v>-3.22</v>
      </c>
      <c r="E125">
        <v>4.47</v>
      </c>
      <c r="F125">
        <v>5.1100000000000003</v>
      </c>
      <c r="G125">
        <v>9.51</v>
      </c>
      <c r="H125">
        <v>13.56</v>
      </c>
      <c r="I125">
        <v>13.11</v>
      </c>
      <c r="J125">
        <v>12.95</v>
      </c>
      <c r="K125">
        <v>7.29</v>
      </c>
      <c r="L125">
        <v>1.46</v>
      </c>
      <c r="M125">
        <v>0.33</v>
      </c>
      <c r="N125">
        <v>-3.38</v>
      </c>
      <c r="O125">
        <v>2.12</v>
      </c>
      <c r="P125">
        <v>12.06</v>
      </c>
      <c r="Q125">
        <v>7.24</v>
      </c>
      <c r="R125">
        <v>-0.65</v>
      </c>
      <c r="S125">
        <v>9.7899999999999991</v>
      </c>
      <c r="T125">
        <v>4.6900000000000004</v>
      </c>
    </row>
    <row r="126" spans="1:20" hidden="1" x14ac:dyDescent="0.3">
      <c r="A126">
        <v>1988</v>
      </c>
      <c r="B126">
        <v>-0.32</v>
      </c>
      <c r="C126">
        <v>-2.73</v>
      </c>
      <c r="D126">
        <v>-1.43</v>
      </c>
      <c r="E126">
        <v>4.57</v>
      </c>
      <c r="F126">
        <v>9.06</v>
      </c>
      <c r="G126">
        <v>10.58</v>
      </c>
      <c r="H126">
        <v>13.66</v>
      </c>
      <c r="I126">
        <v>13.78</v>
      </c>
      <c r="J126">
        <v>10.01</v>
      </c>
      <c r="K126">
        <v>7.68</v>
      </c>
      <c r="L126">
        <v>0.22</v>
      </c>
      <c r="M126">
        <v>-0.86</v>
      </c>
      <c r="N126">
        <v>-0.91</v>
      </c>
      <c r="O126">
        <v>4.07</v>
      </c>
      <c r="P126">
        <v>12.68</v>
      </c>
      <c r="Q126">
        <v>5.97</v>
      </c>
      <c r="R126">
        <v>0.77</v>
      </c>
      <c r="S126">
        <v>10.28</v>
      </c>
      <c r="T126">
        <v>5.35</v>
      </c>
    </row>
    <row r="127" spans="1:20" hidden="1" x14ac:dyDescent="0.3">
      <c r="A127">
        <v>1989</v>
      </c>
      <c r="B127">
        <v>-0.66</v>
      </c>
      <c r="C127">
        <v>0.11</v>
      </c>
      <c r="D127">
        <v>3.31</v>
      </c>
      <c r="E127">
        <v>2.54</v>
      </c>
      <c r="F127">
        <v>9.2100000000000009</v>
      </c>
      <c r="G127">
        <v>10.43</v>
      </c>
      <c r="H127">
        <v>14.08</v>
      </c>
      <c r="I127">
        <v>13.34</v>
      </c>
      <c r="J127">
        <v>9.99</v>
      </c>
      <c r="K127">
        <v>7.06</v>
      </c>
      <c r="L127">
        <v>0.61</v>
      </c>
      <c r="M127">
        <v>0.18</v>
      </c>
      <c r="N127">
        <v>-0.47</v>
      </c>
      <c r="O127">
        <v>5.0199999999999996</v>
      </c>
      <c r="P127">
        <v>12.62</v>
      </c>
      <c r="Q127">
        <v>5.89</v>
      </c>
      <c r="R127">
        <v>1.63</v>
      </c>
      <c r="S127">
        <v>9.93</v>
      </c>
      <c r="T127">
        <v>5.85</v>
      </c>
    </row>
    <row r="128" spans="1:20" x14ac:dyDescent="0.3">
      <c r="A128">
        <v>1990</v>
      </c>
      <c r="B128">
        <v>-1.67</v>
      </c>
      <c r="C128">
        <v>2.1</v>
      </c>
      <c r="D128">
        <v>2.76</v>
      </c>
      <c r="E128">
        <v>2.52</v>
      </c>
      <c r="F128">
        <v>9.7899999999999991</v>
      </c>
      <c r="G128">
        <v>10.69</v>
      </c>
      <c r="H128">
        <v>14.06</v>
      </c>
      <c r="I128">
        <v>14.31</v>
      </c>
      <c r="J128">
        <v>9.4</v>
      </c>
      <c r="K128">
        <v>7.85</v>
      </c>
      <c r="L128">
        <v>0.4</v>
      </c>
      <c r="M128">
        <v>-3.79</v>
      </c>
      <c r="N128">
        <v>0.21</v>
      </c>
      <c r="O128">
        <v>5.0199999999999996</v>
      </c>
      <c r="P128">
        <v>13.02</v>
      </c>
      <c r="Q128">
        <v>5.88</v>
      </c>
      <c r="R128">
        <v>1.84</v>
      </c>
      <c r="S128">
        <v>10.130000000000001</v>
      </c>
      <c r="T128">
        <v>5.7</v>
      </c>
    </row>
    <row r="129" spans="1:20" x14ac:dyDescent="0.3">
      <c r="A129">
        <v>1991</v>
      </c>
      <c r="B129">
        <v>-2.0299999999999998</v>
      </c>
      <c r="C129">
        <v>-4.57</v>
      </c>
      <c r="D129">
        <v>3.08</v>
      </c>
      <c r="E129">
        <v>2.38</v>
      </c>
      <c r="F129">
        <v>4.84</v>
      </c>
      <c r="G129">
        <v>10.15</v>
      </c>
      <c r="H129">
        <v>15.24</v>
      </c>
      <c r="I129">
        <v>15.32</v>
      </c>
      <c r="J129">
        <v>12.28</v>
      </c>
      <c r="K129">
        <v>5.04</v>
      </c>
      <c r="L129">
        <v>0.74</v>
      </c>
      <c r="M129">
        <v>-2.71</v>
      </c>
      <c r="N129">
        <v>-3.46</v>
      </c>
      <c r="O129">
        <v>3.43</v>
      </c>
      <c r="P129">
        <v>13.57</v>
      </c>
      <c r="Q129">
        <v>6.02</v>
      </c>
      <c r="R129">
        <v>0.16</v>
      </c>
      <c r="S129">
        <v>10.039999999999999</v>
      </c>
      <c r="T129">
        <v>4.9800000000000004</v>
      </c>
    </row>
    <row r="130" spans="1:20" x14ac:dyDescent="0.3">
      <c r="A130">
        <v>1992</v>
      </c>
      <c r="B130">
        <v>-2.4500000000000002</v>
      </c>
      <c r="C130">
        <v>-1.44</v>
      </c>
      <c r="D130">
        <v>1.33</v>
      </c>
      <c r="E130">
        <v>3.66</v>
      </c>
      <c r="F130">
        <v>10.050000000000001</v>
      </c>
      <c r="G130">
        <v>10.81</v>
      </c>
      <c r="H130">
        <v>14.38</v>
      </c>
      <c r="I130">
        <v>16.190000000000001</v>
      </c>
      <c r="J130">
        <v>10.35</v>
      </c>
      <c r="K130">
        <v>3.94</v>
      </c>
      <c r="L130">
        <v>3.25</v>
      </c>
      <c r="M130">
        <v>-1.35</v>
      </c>
      <c r="N130">
        <v>-2.2000000000000002</v>
      </c>
      <c r="O130">
        <v>5.01</v>
      </c>
      <c r="P130">
        <v>13.8</v>
      </c>
      <c r="Q130">
        <v>5.85</v>
      </c>
      <c r="R130">
        <v>0.09</v>
      </c>
      <c r="S130">
        <v>10.91</v>
      </c>
      <c r="T130">
        <v>5.73</v>
      </c>
    </row>
    <row r="131" spans="1:20" x14ac:dyDescent="0.3">
      <c r="A131">
        <v>1993</v>
      </c>
      <c r="B131">
        <v>-0.04</v>
      </c>
      <c r="C131">
        <v>-2.68</v>
      </c>
      <c r="D131">
        <v>-0.13</v>
      </c>
      <c r="E131">
        <v>5.04</v>
      </c>
      <c r="F131">
        <v>9.56</v>
      </c>
      <c r="G131">
        <v>12.09</v>
      </c>
      <c r="H131">
        <v>12.41</v>
      </c>
      <c r="I131">
        <v>13.84</v>
      </c>
      <c r="J131">
        <v>8.84</v>
      </c>
      <c r="K131">
        <v>4.7699999999999996</v>
      </c>
      <c r="L131">
        <v>-1.04</v>
      </c>
      <c r="M131">
        <v>-0.5</v>
      </c>
      <c r="N131">
        <v>-1.36</v>
      </c>
      <c r="O131">
        <v>4.82</v>
      </c>
      <c r="P131">
        <v>12.78</v>
      </c>
      <c r="Q131">
        <v>4.1900000000000004</v>
      </c>
      <c r="R131">
        <v>0.5</v>
      </c>
      <c r="S131">
        <v>10.3</v>
      </c>
      <c r="T131">
        <v>5.18</v>
      </c>
    </row>
    <row r="132" spans="1:20" x14ac:dyDescent="0.3">
      <c r="A132">
        <v>1994</v>
      </c>
      <c r="B132">
        <v>-1.44</v>
      </c>
      <c r="C132">
        <v>-1.94</v>
      </c>
      <c r="D132">
        <v>4.33</v>
      </c>
      <c r="E132">
        <v>2.4300000000000002</v>
      </c>
      <c r="F132">
        <v>8.7200000000000006</v>
      </c>
      <c r="G132">
        <v>12.17</v>
      </c>
      <c r="H132">
        <v>16.559999999999999</v>
      </c>
      <c r="I132">
        <v>15.01</v>
      </c>
      <c r="J132">
        <v>9.73</v>
      </c>
      <c r="K132">
        <v>6.18</v>
      </c>
      <c r="L132">
        <v>4.75</v>
      </c>
      <c r="M132">
        <v>0.11</v>
      </c>
      <c r="N132">
        <v>-1.29</v>
      </c>
      <c r="O132">
        <v>5.16</v>
      </c>
      <c r="P132">
        <v>14.58</v>
      </c>
      <c r="Q132">
        <v>6.88</v>
      </c>
      <c r="R132">
        <v>0.7</v>
      </c>
      <c r="S132">
        <v>10.77</v>
      </c>
      <c r="T132">
        <v>6.38</v>
      </c>
    </row>
    <row r="133" spans="1:20" x14ac:dyDescent="0.3">
      <c r="A133">
        <v>1995</v>
      </c>
      <c r="B133">
        <v>-3.79</v>
      </c>
      <c r="C133">
        <v>0.64</v>
      </c>
      <c r="D133">
        <v>-1.1499999999999999</v>
      </c>
      <c r="E133">
        <v>4.28</v>
      </c>
      <c r="F133">
        <v>8.0500000000000007</v>
      </c>
      <c r="G133">
        <v>9.86</v>
      </c>
      <c r="H133">
        <v>16.09</v>
      </c>
      <c r="I133">
        <v>13</v>
      </c>
      <c r="J133">
        <v>7.63</v>
      </c>
      <c r="K133">
        <v>9.4</v>
      </c>
      <c r="L133">
        <v>0.68</v>
      </c>
      <c r="M133">
        <v>-2.3199999999999998</v>
      </c>
      <c r="N133">
        <v>-1.01</v>
      </c>
      <c r="O133">
        <v>3.73</v>
      </c>
      <c r="P133">
        <v>12.98</v>
      </c>
      <c r="Q133">
        <v>5.9</v>
      </c>
      <c r="R133">
        <v>1.1200000000000001</v>
      </c>
      <c r="S133">
        <v>9.82</v>
      </c>
      <c r="T133">
        <v>5.2</v>
      </c>
    </row>
    <row r="134" spans="1:20" x14ac:dyDescent="0.3">
      <c r="A134">
        <v>1996</v>
      </c>
      <c r="B134">
        <v>-1.26</v>
      </c>
      <c r="C134">
        <v>-4.3099999999999996</v>
      </c>
      <c r="D134">
        <v>-1.1100000000000001</v>
      </c>
      <c r="E134">
        <v>4.62</v>
      </c>
      <c r="F134">
        <v>8</v>
      </c>
      <c r="G134">
        <v>12.67</v>
      </c>
      <c r="H134">
        <v>12.83</v>
      </c>
      <c r="I134">
        <v>12.41</v>
      </c>
      <c r="J134">
        <v>7.08</v>
      </c>
      <c r="K134">
        <v>5.83</v>
      </c>
      <c r="L134">
        <v>0.96</v>
      </c>
      <c r="M134">
        <v>-2.2200000000000002</v>
      </c>
      <c r="N134">
        <v>-2.63</v>
      </c>
      <c r="O134">
        <v>3.84</v>
      </c>
      <c r="P134">
        <v>12.64</v>
      </c>
      <c r="Q134">
        <v>4.63</v>
      </c>
      <c r="R134">
        <v>0.18</v>
      </c>
      <c r="S134">
        <v>9.6</v>
      </c>
      <c r="T134">
        <v>4.63</v>
      </c>
    </row>
    <row r="135" spans="1:20" x14ac:dyDescent="0.3">
      <c r="A135">
        <v>1997</v>
      </c>
      <c r="B135">
        <v>-2.2599999999999998</v>
      </c>
      <c r="C135">
        <v>0.4</v>
      </c>
      <c r="D135">
        <v>3.08</v>
      </c>
      <c r="E135">
        <v>3.09</v>
      </c>
      <c r="F135">
        <v>8.8000000000000007</v>
      </c>
      <c r="G135">
        <v>11.14</v>
      </c>
      <c r="H135">
        <v>12.23</v>
      </c>
      <c r="I135">
        <v>14.98</v>
      </c>
      <c r="J135">
        <v>11.99</v>
      </c>
      <c r="K135">
        <v>6.05</v>
      </c>
      <c r="L135">
        <v>1.76</v>
      </c>
      <c r="M135">
        <v>-1.05</v>
      </c>
      <c r="N135">
        <v>-1.36</v>
      </c>
      <c r="O135">
        <v>4.99</v>
      </c>
      <c r="P135">
        <v>12.78</v>
      </c>
      <c r="Q135">
        <v>6.6</v>
      </c>
      <c r="R135">
        <v>0.97</v>
      </c>
      <c r="S135">
        <v>10.37</v>
      </c>
      <c r="T135">
        <v>5.85</v>
      </c>
    </row>
    <row r="136" spans="1:20" x14ac:dyDescent="0.3">
      <c r="A136">
        <v>1998</v>
      </c>
      <c r="B136">
        <v>-1.65</v>
      </c>
      <c r="C136">
        <v>1.01</v>
      </c>
      <c r="D136">
        <v>0.95</v>
      </c>
      <c r="E136">
        <v>3.38</v>
      </c>
      <c r="F136">
        <v>9.5</v>
      </c>
      <c r="G136">
        <v>12.56</v>
      </c>
      <c r="H136">
        <v>14.22</v>
      </c>
      <c r="I136">
        <v>14.38</v>
      </c>
      <c r="J136">
        <v>9.44</v>
      </c>
      <c r="K136">
        <v>5.63</v>
      </c>
      <c r="L136">
        <v>-1.85</v>
      </c>
      <c r="M136">
        <v>-2.0499999999999998</v>
      </c>
      <c r="N136">
        <v>-0.56000000000000005</v>
      </c>
      <c r="O136">
        <v>4.6100000000000003</v>
      </c>
      <c r="P136">
        <v>13.72</v>
      </c>
      <c r="Q136">
        <v>4.41</v>
      </c>
      <c r="R136">
        <v>1.18</v>
      </c>
      <c r="S136">
        <v>10.58</v>
      </c>
      <c r="T136">
        <v>5.46</v>
      </c>
    </row>
    <row r="137" spans="1:20" x14ac:dyDescent="0.3">
      <c r="A137">
        <v>1999</v>
      </c>
      <c r="B137">
        <v>-1.46</v>
      </c>
      <c r="C137">
        <v>-4.18</v>
      </c>
      <c r="D137">
        <v>1.36</v>
      </c>
      <c r="E137">
        <v>3.7</v>
      </c>
      <c r="F137">
        <v>10.37</v>
      </c>
      <c r="G137">
        <v>10.79</v>
      </c>
      <c r="H137">
        <v>14.32</v>
      </c>
      <c r="I137">
        <v>13.76</v>
      </c>
      <c r="J137">
        <v>12.23</v>
      </c>
      <c r="K137">
        <v>6.46</v>
      </c>
      <c r="L137">
        <v>-0.77</v>
      </c>
      <c r="M137">
        <v>-2.12</v>
      </c>
      <c r="N137">
        <v>-2.57</v>
      </c>
      <c r="O137">
        <v>5.14</v>
      </c>
      <c r="P137">
        <v>12.96</v>
      </c>
      <c r="Q137">
        <v>5.97</v>
      </c>
      <c r="R137">
        <v>-0.43</v>
      </c>
      <c r="S137">
        <v>10.86</v>
      </c>
      <c r="T137">
        <v>5.37</v>
      </c>
    </row>
    <row r="138" spans="1:20" x14ac:dyDescent="0.3">
      <c r="A138">
        <v>2000</v>
      </c>
      <c r="B138">
        <v>-3.4</v>
      </c>
      <c r="C138">
        <v>-0.42</v>
      </c>
      <c r="D138">
        <v>1.3</v>
      </c>
      <c r="E138">
        <v>4.96</v>
      </c>
      <c r="F138">
        <v>10.19</v>
      </c>
      <c r="G138">
        <v>13.4</v>
      </c>
      <c r="H138">
        <v>11.57</v>
      </c>
      <c r="I138">
        <v>14.67</v>
      </c>
      <c r="J138">
        <v>11.09</v>
      </c>
      <c r="K138">
        <v>6.56</v>
      </c>
      <c r="L138">
        <v>1.48</v>
      </c>
      <c r="M138">
        <v>0.46</v>
      </c>
      <c r="N138">
        <v>-1.98</v>
      </c>
      <c r="O138">
        <v>5.48</v>
      </c>
      <c r="P138">
        <v>13.21</v>
      </c>
      <c r="Q138">
        <v>6.38</v>
      </c>
      <c r="R138">
        <v>0.17</v>
      </c>
      <c r="S138">
        <v>10.98</v>
      </c>
      <c r="T138">
        <v>5.99</v>
      </c>
    </row>
    <row r="139" spans="1:20" x14ac:dyDescent="0.3">
      <c r="A139">
        <v>2001</v>
      </c>
      <c r="B139">
        <v>-2.06</v>
      </c>
      <c r="C139">
        <v>-1.02</v>
      </c>
      <c r="D139">
        <v>2.77</v>
      </c>
      <c r="E139">
        <v>2.23</v>
      </c>
      <c r="F139">
        <v>10.54</v>
      </c>
      <c r="G139">
        <v>10.78</v>
      </c>
      <c r="H139">
        <v>14.12</v>
      </c>
      <c r="I139">
        <v>14.99</v>
      </c>
      <c r="J139">
        <v>7.16</v>
      </c>
      <c r="K139">
        <v>9.6300000000000008</v>
      </c>
      <c r="L139">
        <v>0.13</v>
      </c>
      <c r="M139">
        <v>-3.81</v>
      </c>
      <c r="N139">
        <v>-0.87</v>
      </c>
      <c r="O139">
        <v>5.18</v>
      </c>
      <c r="P139">
        <v>13.3</v>
      </c>
      <c r="Q139">
        <v>5.64</v>
      </c>
      <c r="R139">
        <v>1.37</v>
      </c>
      <c r="S139">
        <v>9.9700000000000006</v>
      </c>
      <c r="T139">
        <v>5.46</v>
      </c>
    </row>
    <row r="140" spans="1:20" x14ac:dyDescent="0.3">
      <c r="A140">
        <v>2002</v>
      </c>
      <c r="B140">
        <v>-1.91</v>
      </c>
      <c r="C140">
        <v>0.95</v>
      </c>
      <c r="D140">
        <v>2.5</v>
      </c>
      <c r="E140">
        <v>4.2300000000000004</v>
      </c>
      <c r="F140">
        <v>8.08</v>
      </c>
      <c r="G140">
        <v>14.44</v>
      </c>
      <c r="H140">
        <v>13.63</v>
      </c>
      <c r="I140">
        <v>13.03</v>
      </c>
      <c r="J140">
        <v>8.84</v>
      </c>
      <c r="K140">
        <v>6.34</v>
      </c>
      <c r="L140">
        <v>2.65</v>
      </c>
      <c r="M140">
        <v>0.15</v>
      </c>
      <c r="N140">
        <v>-1.59</v>
      </c>
      <c r="O140">
        <v>4.9400000000000004</v>
      </c>
      <c r="P140">
        <v>13.7</v>
      </c>
      <c r="Q140">
        <v>5.94</v>
      </c>
      <c r="R140">
        <v>1.25</v>
      </c>
      <c r="S140">
        <v>10.37</v>
      </c>
      <c r="T140">
        <v>6.08</v>
      </c>
    </row>
    <row r="141" spans="1:20" x14ac:dyDescent="0.3">
      <c r="A141">
        <v>2003</v>
      </c>
      <c r="B141">
        <v>-3.79</v>
      </c>
      <c r="C141">
        <v>-5.0199999999999996</v>
      </c>
      <c r="D141">
        <v>2.8</v>
      </c>
      <c r="E141">
        <v>4.3899999999999997</v>
      </c>
      <c r="F141">
        <v>10.02</v>
      </c>
      <c r="G141">
        <v>17.34</v>
      </c>
      <c r="H141">
        <v>15.4</v>
      </c>
      <c r="I141">
        <v>17.89</v>
      </c>
      <c r="J141">
        <v>10.56</v>
      </c>
      <c r="K141">
        <v>3.48</v>
      </c>
      <c r="L141">
        <v>2.9</v>
      </c>
      <c r="M141">
        <v>-1.1000000000000001</v>
      </c>
      <c r="N141">
        <v>-2.89</v>
      </c>
      <c r="O141">
        <v>5.74</v>
      </c>
      <c r="P141">
        <v>16.88</v>
      </c>
      <c r="Q141">
        <v>5.64</v>
      </c>
      <c r="R141">
        <v>0.52</v>
      </c>
      <c r="S141">
        <v>12.6</v>
      </c>
      <c r="T141">
        <v>6.24</v>
      </c>
    </row>
    <row r="142" spans="1:20" x14ac:dyDescent="0.3">
      <c r="A142">
        <v>2004</v>
      </c>
      <c r="B142">
        <v>-2.99</v>
      </c>
      <c r="C142">
        <v>-1.66</v>
      </c>
      <c r="D142">
        <v>-0.04</v>
      </c>
      <c r="E142">
        <v>4.32</v>
      </c>
      <c r="F142">
        <v>7.23</v>
      </c>
      <c r="G142">
        <v>12</v>
      </c>
      <c r="H142">
        <v>13.58</v>
      </c>
      <c r="I142">
        <v>14.04</v>
      </c>
      <c r="J142">
        <v>11.17</v>
      </c>
      <c r="K142">
        <v>7.99</v>
      </c>
      <c r="L142">
        <v>0.85</v>
      </c>
      <c r="M142">
        <v>-1.68</v>
      </c>
      <c r="N142">
        <v>-1.92</v>
      </c>
      <c r="O142">
        <v>3.83</v>
      </c>
      <c r="P142">
        <v>13.2</v>
      </c>
      <c r="Q142">
        <v>6.67</v>
      </c>
      <c r="R142">
        <v>0.1</v>
      </c>
      <c r="S142">
        <v>10.39</v>
      </c>
      <c r="T142">
        <v>5.4</v>
      </c>
    </row>
    <row r="143" spans="1:20" x14ac:dyDescent="0.3">
      <c r="A143">
        <v>2005</v>
      </c>
      <c r="B143">
        <v>-3.44</v>
      </c>
      <c r="C143">
        <v>-5.88</v>
      </c>
      <c r="D143">
        <v>0.67</v>
      </c>
      <c r="E143">
        <v>4.4400000000000004</v>
      </c>
      <c r="F143">
        <v>9.14</v>
      </c>
      <c r="G143">
        <v>13.75</v>
      </c>
      <c r="H143">
        <v>13.95</v>
      </c>
      <c r="I143">
        <v>11.97</v>
      </c>
      <c r="J143">
        <v>11.27</v>
      </c>
      <c r="K143">
        <v>7.92</v>
      </c>
      <c r="L143">
        <v>0.4</v>
      </c>
      <c r="M143">
        <v>-4.3</v>
      </c>
      <c r="N143">
        <v>-3.67</v>
      </c>
      <c r="O143">
        <v>4.75</v>
      </c>
      <c r="P143">
        <v>13.23</v>
      </c>
      <c r="Q143">
        <v>6.53</v>
      </c>
      <c r="R143">
        <v>-0.25</v>
      </c>
      <c r="S143">
        <v>10.76</v>
      </c>
      <c r="T143">
        <v>4.99</v>
      </c>
    </row>
    <row r="144" spans="1:20" x14ac:dyDescent="0.3">
      <c r="A144">
        <v>2006</v>
      </c>
      <c r="B144">
        <v>-4.43</v>
      </c>
      <c r="C144">
        <v>-3.38</v>
      </c>
      <c r="D144">
        <v>-1.0900000000000001</v>
      </c>
      <c r="E144">
        <v>4.17</v>
      </c>
      <c r="F144">
        <v>8.57</v>
      </c>
      <c r="G144">
        <v>13.27</v>
      </c>
      <c r="H144">
        <v>17.690000000000001</v>
      </c>
      <c r="I144">
        <v>10.45</v>
      </c>
      <c r="J144">
        <v>13.14</v>
      </c>
      <c r="K144">
        <v>9.27</v>
      </c>
      <c r="L144">
        <v>3.71</v>
      </c>
      <c r="M144">
        <v>0.02</v>
      </c>
      <c r="N144">
        <v>-4.04</v>
      </c>
      <c r="O144">
        <v>3.88</v>
      </c>
      <c r="P144">
        <v>13.8</v>
      </c>
      <c r="Q144">
        <v>8.7100000000000009</v>
      </c>
      <c r="R144">
        <v>-0.81</v>
      </c>
      <c r="S144">
        <v>11.21</v>
      </c>
      <c r="T144">
        <v>5.95</v>
      </c>
    </row>
    <row r="145" spans="1:20" x14ac:dyDescent="0.3">
      <c r="A145">
        <v>2007</v>
      </c>
      <c r="B145">
        <v>0.38</v>
      </c>
      <c r="C145">
        <v>0.96</v>
      </c>
      <c r="D145">
        <v>1.31</v>
      </c>
      <c r="E145">
        <v>8.9499999999999993</v>
      </c>
      <c r="F145">
        <v>9.6999999999999993</v>
      </c>
      <c r="G145">
        <v>12.65</v>
      </c>
      <c r="H145">
        <v>13.41</v>
      </c>
      <c r="I145">
        <v>12.88</v>
      </c>
      <c r="J145">
        <v>8.91</v>
      </c>
      <c r="K145">
        <v>5.97</v>
      </c>
      <c r="L145">
        <v>-0.09</v>
      </c>
      <c r="M145">
        <v>-2.29</v>
      </c>
      <c r="N145">
        <v>0.45</v>
      </c>
      <c r="O145">
        <v>6.65</v>
      </c>
      <c r="P145">
        <v>12.98</v>
      </c>
      <c r="Q145">
        <v>4.93</v>
      </c>
      <c r="R145">
        <v>2.61</v>
      </c>
      <c r="S145">
        <v>11.08</v>
      </c>
      <c r="T145">
        <v>6.06</v>
      </c>
    </row>
    <row r="146" spans="1:20" x14ac:dyDescent="0.3">
      <c r="A146">
        <v>2008</v>
      </c>
      <c r="B146">
        <v>-0.19</v>
      </c>
      <c r="C146">
        <v>0.3</v>
      </c>
      <c r="D146">
        <v>-0.11</v>
      </c>
      <c r="E146">
        <v>3.17</v>
      </c>
      <c r="F146">
        <v>10.09</v>
      </c>
      <c r="G146">
        <v>12.84</v>
      </c>
      <c r="H146">
        <v>13.74</v>
      </c>
      <c r="I146">
        <v>13.71</v>
      </c>
      <c r="J146">
        <v>8.8000000000000007</v>
      </c>
      <c r="K146">
        <v>6.59</v>
      </c>
      <c r="L146">
        <v>0.94</v>
      </c>
      <c r="M146">
        <v>-2.52</v>
      </c>
      <c r="N146">
        <v>-0.73</v>
      </c>
      <c r="O146">
        <v>4.38</v>
      </c>
      <c r="P146">
        <v>13.43</v>
      </c>
      <c r="Q146">
        <v>5.44</v>
      </c>
      <c r="R146">
        <v>0.6</v>
      </c>
      <c r="S146">
        <v>10.39</v>
      </c>
      <c r="T146">
        <v>5.61</v>
      </c>
    </row>
    <row r="147" spans="1:20" x14ac:dyDescent="0.3">
      <c r="A147">
        <v>2009</v>
      </c>
      <c r="B147">
        <v>-4.45</v>
      </c>
      <c r="C147">
        <v>-3.43</v>
      </c>
      <c r="D147">
        <v>0.01</v>
      </c>
      <c r="E147">
        <v>6.3</v>
      </c>
      <c r="F147">
        <v>10.82</v>
      </c>
      <c r="G147">
        <v>11.99</v>
      </c>
      <c r="H147">
        <v>14.38</v>
      </c>
      <c r="I147">
        <v>15.72</v>
      </c>
      <c r="J147">
        <v>11.72</v>
      </c>
      <c r="K147">
        <v>6.06</v>
      </c>
      <c r="L147">
        <v>3.38</v>
      </c>
      <c r="M147">
        <v>-2.89</v>
      </c>
      <c r="N147">
        <v>-3.47</v>
      </c>
      <c r="O147">
        <v>5.71</v>
      </c>
      <c r="P147">
        <v>14.03</v>
      </c>
      <c r="Q147">
        <v>7.06</v>
      </c>
      <c r="R147">
        <v>-0.48</v>
      </c>
      <c r="S147">
        <v>11.82</v>
      </c>
      <c r="T147">
        <v>5.8</v>
      </c>
    </row>
    <row r="148" spans="1:20" x14ac:dyDescent="0.3">
      <c r="A148">
        <v>2010</v>
      </c>
      <c r="B148">
        <v>-5.17</v>
      </c>
      <c r="C148">
        <v>-3.34</v>
      </c>
      <c r="D148">
        <v>-0.12</v>
      </c>
      <c r="E148">
        <v>5.1100000000000003</v>
      </c>
      <c r="F148">
        <v>7.07</v>
      </c>
      <c r="G148">
        <v>12.33</v>
      </c>
      <c r="H148">
        <v>15.84</v>
      </c>
      <c r="I148">
        <v>12.88</v>
      </c>
      <c r="J148">
        <v>9.32</v>
      </c>
      <c r="K148">
        <v>5.49</v>
      </c>
      <c r="L148">
        <v>1.03</v>
      </c>
      <c r="M148">
        <v>-4.29</v>
      </c>
      <c r="N148">
        <v>-3.8</v>
      </c>
      <c r="O148">
        <v>4.0199999999999996</v>
      </c>
      <c r="P148">
        <v>13.68</v>
      </c>
      <c r="Q148">
        <v>5.28</v>
      </c>
      <c r="R148">
        <v>-0.34</v>
      </c>
      <c r="S148">
        <v>10.42</v>
      </c>
      <c r="T148">
        <v>4.68</v>
      </c>
    </row>
    <row r="149" spans="1:20" x14ac:dyDescent="0.3">
      <c r="A149">
        <v>2011</v>
      </c>
      <c r="B149">
        <v>-2.44</v>
      </c>
      <c r="C149">
        <v>-0.53</v>
      </c>
      <c r="D149">
        <v>2.31</v>
      </c>
      <c r="E149">
        <v>7.6</v>
      </c>
      <c r="F149">
        <v>10.58</v>
      </c>
      <c r="G149">
        <v>12.31</v>
      </c>
      <c r="H149">
        <v>12.05</v>
      </c>
      <c r="I149">
        <v>15.18</v>
      </c>
      <c r="J149">
        <v>12.63</v>
      </c>
      <c r="K149">
        <v>6.52</v>
      </c>
      <c r="L149">
        <v>3.69</v>
      </c>
      <c r="M149">
        <v>-0.52</v>
      </c>
      <c r="N149">
        <v>-2.42</v>
      </c>
      <c r="O149">
        <v>6.83</v>
      </c>
      <c r="P149">
        <v>13.18</v>
      </c>
      <c r="Q149">
        <v>7.61</v>
      </c>
      <c r="R149">
        <v>0.26</v>
      </c>
      <c r="S149">
        <v>11.73</v>
      </c>
      <c r="T149">
        <v>6.62</v>
      </c>
    </row>
    <row r="150" spans="1:20" x14ac:dyDescent="0.3">
      <c r="A150">
        <v>2012</v>
      </c>
      <c r="B150">
        <v>-1.81</v>
      </c>
      <c r="C150">
        <v>-6.48</v>
      </c>
      <c r="D150">
        <v>3.73</v>
      </c>
      <c r="E150">
        <v>4.08</v>
      </c>
      <c r="F150">
        <v>9.42</v>
      </c>
      <c r="G150">
        <v>13.29</v>
      </c>
      <c r="H150">
        <v>13.97</v>
      </c>
      <c r="I150">
        <v>15.54</v>
      </c>
      <c r="J150">
        <v>10.67</v>
      </c>
      <c r="K150">
        <v>6.84</v>
      </c>
      <c r="L150">
        <v>2.73</v>
      </c>
      <c r="M150">
        <v>-2.1800000000000002</v>
      </c>
      <c r="N150">
        <v>-2.94</v>
      </c>
      <c r="O150">
        <v>5.74</v>
      </c>
      <c r="P150">
        <v>14.27</v>
      </c>
      <c r="Q150">
        <v>6.75</v>
      </c>
      <c r="R150">
        <v>0.86</v>
      </c>
      <c r="S150">
        <v>11.16</v>
      </c>
      <c r="T150">
        <v>5.82</v>
      </c>
    </row>
    <row r="151" spans="1:20" x14ac:dyDescent="0.3">
      <c r="A151">
        <v>2013</v>
      </c>
      <c r="B151">
        <v>-2.67</v>
      </c>
      <c r="C151">
        <v>-5.34</v>
      </c>
      <c r="D151">
        <v>-0.76</v>
      </c>
      <c r="E151">
        <v>4.87</v>
      </c>
      <c r="F151">
        <v>6.24</v>
      </c>
      <c r="G151">
        <v>11.49</v>
      </c>
      <c r="H151">
        <v>15.98</v>
      </c>
      <c r="I151">
        <v>14.41</v>
      </c>
      <c r="J151">
        <v>10.98</v>
      </c>
      <c r="K151">
        <v>7.95</v>
      </c>
      <c r="L151">
        <v>0.5</v>
      </c>
      <c r="M151">
        <v>-0.44</v>
      </c>
      <c r="N151">
        <v>-3.4</v>
      </c>
      <c r="O151">
        <v>3.45</v>
      </c>
      <c r="P151">
        <v>13.96</v>
      </c>
      <c r="Q151">
        <v>6.48</v>
      </c>
      <c r="R151">
        <v>-0.23</v>
      </c>
      <c r="S151">
        <v>10.66</v>
      </c>
      <c r="T151">
        <v>5.27</v>
      </c>
    </row>
    <row r="152" spans="1:20" x14ac:dyDescent="0.3">
      <c r="A152">
        <v>2014</v>
      </c>
      <c r="B152">
        <v>-0.64</v>
      </c>
      <c r="C152">
        <v>-0.43</v>
      </c>
      <c r="D152">
        <v>2.81</v>
      </c>
      <c r="E152">
        <v>6.13</v>
      </c>
      <c r="F152">
        <v>7.73</v>
      </c>
      <c r="G152">
        <v>13.16</v>
      </c>
      <c r="H152">
        <v>13.33</v>
      </c>
      <c r="I152">
        <v>12.1</v>
      </c>
      <c r="J152">
        <v>11.2</v>
      </c>
      <c r="K152">
        <v>8.7799999999999994</v>
      </c>
      <c r="L152">
        <v>4.33</v>
      </c>
      <c r="M152">
        <v>-0.36</v>
      </c>
      <c r="N152">
        <v>-0.5</v>
      </c>
      <c r="O152">
        <v>5.56</v>
      </c>
      <c r="P152">
        <v>12.86</v>
      </c>
      <c r="Q152">
        <v>8.1</v>
      </c>
      <c r="R152">
        <v>1.63</v>
      </c>
      <c r="S152">
        <v>10.61</v>
      </c>
      <c r="T152">
        <v>6.51</v>
      </c>
    </row>
    <row r="153" spans="1:20" x14ac:dyDescent="0.3">
      <c r="A153">
        <v>2015</v>
      </c>
      <c r="B153">
        <v>-1.66</v>
      </c>
      <c r="C153">
        <v>-3.21</v>
      </c>
      <c r="D153">
        <v>2.04</v>
      </c>
      <c r="E153">
        <v>5.34</v>
      </c>
      <c r="F153">
        <v>9.2899999999999991</v>
      </c>
      <c r="G153">
        <v>13.6</v>
      </c>
      <c r="H153">
        <v>17.75</v>
      </c>
      <c r="I153">
        <v>15.57</v>
      </c>
      <c r="J153">
        <v>9.07</v>
      </c>
      <c r="K153">
        <v>5.88</v>
      </c>
      <c r="L153">
        <v>4.16</v>
      </c>
      <c r="M153">
        <v>2.2400000000000002</v>
      </c>
      <c r="N153">
        <v>-1.74</v>
      </c>
      <c r="O153">
        <v>5.56</v>
      </c>
      <c r="P153">
        <v>15.64</v>
      </c>
      <c r="Q153">
        <v>6.37</v>
      </c>
      <c r="R153">
        <v>1.65</v>
      </c>
      <c r="S153">
        <v>11.77</v>
      </c>
      <c r="T153">
        <v>6.67</v>
      </c>
    </row>
    <row r="154" spans="1:20" x14ac:dyDescent="0.3">
      <c r="A154">
        <v>2016</v>
      </c>
      <c r="B154">
        <v>-1.1100000000000001</v>
      </c>
      <c r="C154">
        <v>-0.18</v>
      </c>
      <c r="D154">
        <v>0.16</v>
      </c>
      <c r="E154">
        <v>4.59</v>
      </c>
      <c r="F154">
        <v>7.9</v>
      </c>
      <c r="G154">
        <v>11.99</v>
      </c>
      <c r="H154">
        <v>15.09</v>
      </c>
      <c r="I154">
        <v>14.8</v>
      </c>
      <c r="J154">
        <v>12.55</v>
      </c>
      <c r="K154">
        <v>5.38</v>
      </c>
      <c r="L154">
        <v>1.81</v>
      </c>
      <c r="M154">
        <v>-0.13</v>
      </c>
      <c r="N154">
        <v>0.32</v>
      </c>
      <c r="O154">
        <v>4.22</v>
      </c>
      <c r="P154">
        <v>13.96</v>
      </c>
      <c r="Q154">
        <v>6.58</v>
      </c>
      <c r="R154">
        <v>1.86</v>
      </c>
      <c r="S154">
        <v>11.15</v>
      </c>
      <c r="T154">
        <v>6.07</v>
      </c>
    </row>
    <row r="155" spans="1:20" x14ac:dyDescent="0.3">
      <c r="A155">
        <v>2017</v>
      </c>
      <c r="B155">
        <v>-5.16</v>
      </c>
      <c r="C155">
        <v>0.47</v>
      </c>
      <c r="D155">
        <v>4.13</v>
      </c>
      <c r="E155">
        <v>4.43</v>
      </c>
      <c r="F155">
        <v>9.83</v>
      </c>
      <c r="G155">
        <v>15.2</v>
      </c>
      <c r="H155">
        <v>15.04</v>
      </c>
      <c r="I155">
        <v>15.46</v>
      </c>
      <c r="J155">
        <v>8.66</v>
      </c>
      <c r="K155">
        <v>7.78</v>
      </c>
      <c r="L155">
        <v>0.87</v>
      </c>
      <c r="M155">
        <v>-2.46</v>
      </c>
      <c r="N155">
        <v>-1.61</v>
      </c>
      <c r="O155">
        <v>6.13</v>
      </c>
      <c r="P155">
        <v>15.23</v>
      </c>
      <c r="Q155">
        <v>5.77</v>
      </c>
      <c r="R155">
        <v>1.08</v>
      </c>
      <c r="S155">
        <v>11.44</v>
      </c>
      <c r="T155">
        <v>6.19</v>
      </c>
    </row>
    <row r="156" spans="1:20" x14ac:dyDescent="0.3">
      <c r="A156">
        <v>2018</v>
      </c>
      <c r="B156">
        <v>0.47</v>
      </c>
      <c r="C156">
        <v>-5.21</v>
      </c>
      <c r="D156">
        <v>-0.18</v>
      </c>
      <c r="E156">
        <v>7.82</v>
      </c>
      <c r="F156">
        <v>10.46</v>
      </c>
      <c r="G156">
        <v>13.82</v>
      </c>
      <c r="H156">
        <v>16.23</v>
      </c>
      <c r="I156">
        <v>15.89</v>
      </c>
      <c r="J156">
        <v>12.58</v>
      </c>
      <c r="K156">
        <v>8.0399999999999991</v>
      </c>
      <c r="L156">
        <v>2.78</v>
      </c>
      <c r="M156">
        <v>-0.13</v>
      </c>
      <c r="N156">
        <v>-2.4</v>
      </c>
      <c r="O156">
        <v>6.03</v>
      </c>
      <c r="P156">
        <v>15.32</v>
      </c>
      <c r="Q156">
        <v>7.8</v>
      </c>
      <c r="R156">
        <v>0.21</v>
      </c>
      <c r="S156">
        <v>12.8</v>
      </c>
      <c r="T156">
        <v>6.88</v>
      </c>
    </row>
    <row r="157" spans="1:20" x14ac:dyDescent="0.3">
      <c r="A157">
        <v>2019</v>
      </c>
      <c r="B157">
        <v>-4.38</v>
      </c>
      <c r="C157">
        <v>0.74</v>
      </c>
      <c r="D157">
        <v>2.29</v>
      </c>
      <c r="E157">
        <v>4.5</v>
      </c>
      <c r="F157">
        <v>6.12</v>
      </c>
      <c r="G157">
        <v>15.28</v>
      </c>
      <c r="H157">
        <v>16.22</v>
      </c>
      <c r="I157">
        <v>15.12</v>
      </c>
      <c r="J157">
        <v>11.4</v>
      </c>
      <c r="K157">
        <v>8.4600000000000009</v>
      </c>
      <c r="L157">
        <v>1.51</v>
      </c>
      <c r="M157">
        <v>0.77</v>
      </c>
      <c r="N157">
        <v>-1.26</v>
      </c>
      <c r="O157">
        <v>4.3</v>
      </c>
      <c r="P157">
        <v>15.54</v>
      </c>
      <c r="Q157">
        <v>7.13</v>
      </c>
      <c r="R157">
        <v>1.56</v>
      </c>
      <c r="S157">
        <v>11.44</v>
      </c>
      <c r="T157">
        <v>6.5</v>
      </c>
    </row>
    <row r="158" spans="1:20" x14ac:dyDescent="0.3">
      <c r="A158">
        <v>2020</v>
      </c>
      <c r="B158">
        <v>-0.28000000000000003</v>
      </c>
      <c r="C158">
        <v>1.64</v>
      </c>
      <c r="D158">
        <v>1.57</v>
      </c>
      <c r="E158">
        <v>7.65</v>
      </c>
      <c r="F158">
        <v>9.57</v>
      </c>
      <c r="G158">
        <v>11.85</v>
      </c>
      <c r="H158">
        <v>15.42</v>
      </c>
      <c r="I158">
        <v>15.22</v>
      </c>
      <c r="J158">
        <v>11.9</v>
      </c>
      <c r="K158">
        <v>5.38</v>
      </c>
      <c r="L158">
        <v>3.69</v>
      </c>
      <c r="M158">
        <v>-1.2</v>
      </c>
      <c r="N158">
        <v>0.71</v>
      </c>
      <c r="O158">
        <v>6.26</v>
      </c>
      <c r="P158">
        <v>14.16</v>
      </c>
      <c r="Q158">
        <v>6.99</v>
      </c>
      <c r="R158">
        <v>2.2799999999999998</v>
      </c>
      <c r="S158">
        <v>11.93</v>
      </c>
      <c r="T158">
        <v>6.87</v>
      </c>
    </row>
    <row r="159" spans="1:20" x14ac:dyDescent="0.3">
      <c r="A159">
        <v>2021</v>
      </c>
      <c r="B159">
        <v>-3.56</v>
      </c>
      <c r="C159">
        <v>0.84</v>
      </c>
      <c r="D159">
        <v>0.95</v>
      </c>
      <c r="E159">
        <v>2.9</v>
      </c>
      <c r="F159">
        <v>6.25</v>
      </c>
      <c r="G159">
        <v>14.39</v>
      </c>
      <c r="H159">
        <v>13.91</v>
      </c>
      <c r="I159">
        <v>13.12</v>
      </c>
      <c r="J159">
        <v>12.15</v>
      </c>
      <c r="K159">
        <v>6.28</v>
      </c>
      <c r="L159">
        <v>1.1299999999999999</v>
      </c>
      <c r="M159">
        <v>-0.65</v>
      </c>
      <c r="N159">
        <v>-1.3</v>
      </c>
      <c r="O159">
        <v>3.37</v>
      </c>
      <c r="P159">
        <v>13.81</v>
      </c>
      <c r="Q159">
        <v>6.52</v>
      </c>
      <c r="R159">
        <v>1.02</v>
      </c>
      <c r="S159">
        <v>10.45</v>
      </c>
      <c r="T159">
        <v>5.64</v>
      </c>
    </row>
    <row r="160" spans="1:20" x14ac:dyDescent="0.3">
      <c r="A160">
        <v>2022</v>
      </c>
      <c r="B160">
        <v>-1.48</v>
      </c>
      <c r="C160">
        <v>-0.13</v>
      </c>
      <c r="D160">
        <v>2.38</v>
      </c>
      <c r="E160">
        <v>4.63</v>
      </c>
      <c r="F160">
        <v>11.51</v>
      </c>
      <c r="G160">
        <v>15.37</v>
      </c>
      <c r="H160">
        <v>16.97</v>
      </c>
      <c r="I160">
        <v>16.149999999999999</v>
      </c>
      <c r="J160">
        <v>10.09</v>
      </c>
      <c r="K160">
        <v>10.45</v>
      </c>
      <c r="L160">
        <v>3.33</v>
      </c>
      <c r="M160">
        <v>-0.28000000000000003</v>
      </c>
      <c r="N160">
        <v>-0.75</v>
      </c>
      <c r="O160">
        <v>6.17</v>
      </c>
      <c r="P160">
        <v>16.16</v>
      </c>
      <c r="Q160">
        <v>7.96</v>
      </c>
      <c r="R160">
        <v>1.26</v>
      </c>
      <c r="S160">
        <v>12.45</v>
      </c>
      <c r="T160">
        <v>7.42</v>
      </c>
    </row>
    <row r="161" spans="1:20" x14ac:dyDescent="0.3">
      <c r="A161">
        <v>2023</v>
      </c>
      <c r="B161">
        <v>-1.61</v>
      </c>
      <c r="C161">
        <v>0.08</v>
      </c>
      <c r="D161">
        <v>2.66</v>
      </c>
      <c r="E161">
        <v>3.71</v>
      </c>
      <c r="F161">
        <v>9.36</v>
      </c>
      <c r="G161">
        <v>14.94</v>
      </c>
      <c r="H161">
        <v>15.98</v>
      </c>
      <c r="I161">
        <v>15.58</v>
      </c>
      <c r="J161">
        <v>14.3</v>
      </c>
      <c r="K161">
        <v>9.7100000000000009</v>
      </c>
      <c r="L161">
        <v>1.59</v>
      </c>
      <c r="M161">
        <v>0.65</v>
      </c>
      <c r="N161">
        <v>-0.6</v>
      </c>
      <c r="O161">
        <v>5.24</v>
      </c>
      <c r="P161">
        <v>15.5</v>
      </c>
      <c r="Q161">
        <v>8.5299999999999994</v>
      </c>
      <c r="R161">
        <v>2.44</v>
      </c>
      <c r="S161">
        <v>12.31</v>
      </c>
      <c r="T161">
        <v>7.25</v>
      </c>
    </row>
    <row r="162" spans="1:20" x14ac:dyDescent="0.3">
      <c r="A162">
        <v>2024</v>
      </c>
      <c r="B162">
        <v>-0.64</v>
      </c>
      <c r="C162">
        <v>2.7</v>
      </c>
      <c r="D162">
        <v>3.29</v>
      </c>
      <c r="E162">
        <v>5.19</v>
      </c>
      <c r="F162">
        <v>8.84</v>
      </c>
      <c r="G162">
        <v>13.08</v>
      </c>
      <c r="H162">
        <v>16.079999999999998</v>
      </c>
      <c r="I162">
        <v>17.07</v>
      </c>
      <c r="J162">
        <v>9.99</v>
      </c>
      <c r="K162">
        <v>8.4</v>
      </c>
      <c r="L162">
        <v>2.83</v>
      </c>
      <c r="M162">
        <v>-0.84</v>
      </c>
      <c r="N162">
        <v>0.9</v>
      </c>
      <c r="O162">
        <v>5.77</v>
      </c>
      <c r="P162">
        <v>15.41</v>
      </c>
      <c r="Q162">
        <v>7.07</v>
      </c>
      <c r="R162">
        <v>2.88</v>
      </c>
      <c r="S162">
        <v>11.71</v>
      </c>
      <c r="T162">
        <v>7.17</v>
      </c>
    </row>
    <row r="163" spans="1:20" x14ac:dyDescent="0.3">
      <c r="A163">
        <v>2025</v>
      </c>
      <c r="B163">
        <v>-0.81</v>
      </c>
      <c r="C163">
        <v>-0.04</v>
      </c>
      <c r="D163">
        <v>2.8</v>
      </c>
      <c r="E163">
        <v>6.75</v>
      </c>
      <c r="F163">
        <v>9.06</v>
      </c>
      <c r="G163">
        <v>16.43</v>
      </c>
      <c r="H163">
        <v>14.18</v>
      </c>
      <c r="I163">
        <v>15.59</v>
      </c>
      <c r="J163">
        <v>10.95</v>
      </c>
      <c r="K163">
        <v>6.38</v>
      </c>
      <c r="L163">
        <v>1.86</v>
      </c>
      <c r="M163">
        <v>0.64</v>
      </c>
      <c r="N163">
        <v>-0.56999999999999995</v>
      </c>
      <c r="O163">
        <v>6.2</v>
      </c>
      <c r="P163">
        <v>15.4</v>
      </c>
      <c r="Q163">
        <v>6.4</v>
      </c>
      <c r="R163">
        <v>2.06</v>
      </c>
      <c r="S163">
        <v>12.16</v>
      </c>
      <c r="T163">
        <v>6.98</v>
      </c>
    </row>
    <row r="164" spans="1:20" x14ac:dyDescent="0.3">
      <c r="A164">
        <v>2026</v>
      </c>
      <c r="B164">
        <v>-2.68</v>
      </c>
      <c r="C164">
        <v>1.17</v>
      </c>
      <c r="D164">
        <v>1.77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>
        <v>-0.28999999999999998</v>
      </c>
      <c r="O164" t="s">
        <v>20</v>
      </c>
      <c r="P164" t="s">
        <v>20</v>
      </c>
      <c r="Q164" t="s">
        <v>20</v>
      </c>
      <c r="R164">
        <v>1.52</v>
      </c>
      <c r="S164" t="s">
        <v>20</v>
      </c>
      <c r="T164" t="s">
        <v>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E684-4921-475A-8070-BE07DE098A2E}">
  <dimension ref="A1:D40"/>
  <sheetViews>
    <sheetView workbookViewId="0">
      <selection activeCell="A6" sqref="A6:B24"/>
    </sheetView>
  </sheetViews>
  <sheetFormatPr baseColWidth="10" defaultRowHeight="14.4" x14ac:dyDescent="0.3"/>
  <cols>
    <col min="1" max="1" width="10.21875" bestFit="1" customWidth="1"/>
    <col min="2" max="2" width="15.44140625" bestFit="1" customWidth="1"/>
    <col min="3" max="4" width="9.5546875" bestFit="1" customWidth="1"/>
  </cols>
  <sheetData>
    <row r="1" spans="1:4" x14ac:dyDescent="0.3">
      <c r="A1" t="s">
        <v>513</v>
      </c>
      <c r="B1" t="s">
        <v>21</v>
      </c>
      <c r="C1" t="s">
        <v>22</v>
      </c>
      <c r="D1" t="s">
        <v>23</v>
      </c>
    </row>
    <row r="2" spans="1:4" hidden="1" x14ac:dyDescent="0.3">
      <c r="A2">
        <v>1986</v>
      </c>
      <c r="B2" s="23">
        <v>6523413</v>
      </c>
      <c r="C2" s="23">
        <v>3179911</v>
      </c>
      <c r="D2" s="23">
        <v>3343502</v>
      </c>
    </row>
    <row r="3" spans="1:4" hidden="1" x14ac:dyDescent="0.3">
      <c r="A3">
        <v>1987</v>
      </c>
      <c r="B3" s="23">
        <v>6566799</v>
      </c>
      <c r="C3" s="23">
        <v>3201854</v>
      </c>
      <c r="D3" s="23">
        <v>3364945</v>
      </c>
    </row>
    <row r="4" spans="1:4" hidden="1" x14ac:dyDescent="0.3">
      <c r="A4">
        <v>1988</v>
      </c>
      <c r="B4" s="23">
        <v>6619973</v>
      </c>
      <c r="C4" s="23">
        <v>3228921</v>
      </c>
      <c r="D4" s="23">
        <v>3391052</v>
      </c>
    </row>
    <row r="5" spans="1:4" hidden="1" x14ac:dyDescent="0.3">
      <c r="A5">
        <v>1989</v>
      </c>
      <c r="B5" s="23">
        <v>6673850</v>
      </c>
      <c r="C5" s="23">
        <v>3257537</v>
      </c>
      <c r="D5" s="23">
        <v>3416313</v>
      </c>
    </row>
    <row r="6" spans="1:4" x14ac:dyDescent="0.3">
      <c r="A6">
        <v>1990</v>
      </c>
      <c r="B6" s="23">
        <v>6750693</v>
      </c>
      <c r="C6" s="23">
        <v>3298312</v>
      </c>
      <c r="D6" s="23">
        <v>3452381</v>
      </c>
    </row>
    <row r="7" spans="1:4" x14ac:dyDescent="0.3">
      <c r="A7">
        <v>1991</v>
      </c>
      <c r="B7" s="23">
        <v>6842768</v>
      </c>
      <c r="C7" s="23">
        <v>3341665</v>
      </c>
      <c r="D7" s="23">
        <v>3501103</v>
      </c>
    </row>
    <row r="8" spans="1:4" x14ac:dyDescent="0.3">
      <c r="A8">
        <v>1992</v>
      </c>
      <c r="B8" s="23">
        <v>6907959</v>
      </c>
      <c r="C8" s="23">
        <v>3373916</v>
      </c>
      <c r="D8" s="23">
        <v>3534043</v>
      </c>
    </row>
    <row r="9" spans="1:4" x14ac:dyDescent="0.3">
      <c r="A9">
        <v>1993</v>
      </c>
      <c r="B9" s="23">
        <v>6968570</v>
      </c>
      <c r="C9" s="23">
        <v>3403863</v>
      </c>
      <c r="D9" s="23">
        <v>3564707</v>
      </c>
    </row>
    <row r="10" spans="1:4" x14ac:dyDescent="0.3">
      <c r="A10">
        <v>1994</v>
      </c>
      <c r="B10" s="23">
        <v>7019019</v>
      </c>
      <c r="C10" s="23">
        <v>3428368</v>
      </c>
      <c r="D10" s="23">
        <v>3590651</v>
      </c>
    </row>
    <row r="11" spans="1:4" x14ac:dyDescent="0.3">
      <c r="A11">
        <v>1995</v>
      </c>
      <c r="B11" s="23">
        <v>7062354</v>
      </c>
      <c r="C11" s="23">
        <v>3448842</v>
      </c>
      <c r="D11" s="23">
        <v>3613512</v>
      </c>
    </row>
    <row r="12" spans="1:4" x14ac:dyDescent="0.3">
      <c r="A12">
        <v>1996</v>
      </c>
      <c r="B12" s="23">
        <v>7081346</v>
      </c>
      <c r="C12" s="23">
        <v>3457621</v>
      </c>
      <c r="D12" s="23">
        <v>3623725</v>
      </c>
    </row>
    <row r="13" spans="1:4" x14ac:dyDescent="0.3">
      <c r="A13">
        <v>1997</v>
      </c>
      <c r="B13" s="23">
        <v>7096465</v>
      </c>
      <c r="C13" s="23">
        <v>3465243</v>
      </c>
      <c r="D13" s="23">
        <v>3631222</v>
      </c>
    </row>
    <row r="14" spans="1:4" x14ac:dyDescent="0.3">
      <c r="A14">
        <v>1998</v>
      </c>
      <c r="B14" s="23">
        <v>7123537</v>
      </c>
      <c r="C14" s="23">
        <v>3478689</v>
      </c>
      <c r="D14" s="23">
        <v>3644848</v>
      </c>
    </row>
    <row r="15" spans="1:4" x14ac:dyDescent="0.3">
      <c r="A15">
        <v>1999</v>
      </c>
      <c r="B15" s="23">
        <v>7164444</v>
      </c>
      <c r="C15" s="23">
        <v>3500708</v>
      </c>
      <c r="D15" s="23">
        <v>3663736</v>
      </c>
    </row>
    <row r="16" spans="1:4" x14ac:dyDescent="0.3">
      <c r="A16">
        <v>2000</v>
      </c>
      <c r="B16" s="23">
        <v>7204055</v>
      </c>
      <c r="C16" s="23">
        <v>3519698</v>
      </c>
      <c r="D16" s="23">
        <v>3684357</v>
      </c>
    </row>
    <row r="17" spans="1:4" x14ac:dyDescent="0.3">
      <c r="A17">
        <v>2001</v>
      </c>
      <c r="B17" s="23">
        <v>7255653</v>
      </c>
      <c r="C17" s="23">
        <v>3544349</v>
      </c>
      <c r="D17" s="23">
        <v>3711304</v>
      </c>
    </row>
    <row r="18" spans="1:4" x14ac:dyDescent="0.3">
      <c r="A18">
        <v>2002</v>
      </c>
      <c r="B18" s="23">
        <v>7313853</v>
      </c>
      <c r="C18" s="23">
        <v>3575029</v>
      </c>
      <c r="D18" s="23">
        <v>3738824</v>
      </c>
    </row>
    <row r="19" spans="1:4" x14ac:dyDescent="0.3">
      <c r="A19">
        <v>2003</v>
      </c>
      <c r="B19" s="23">
        <v>7364148</v>
      </c>
      <c r="C19" s="23">
        <v>3601539</v>
      </c>
      <c r="D19" s="23">
        <v>3762609</v>
      </c>
    </row>
    <row r="20" spans="1:4" x14ac:dyDescent="0.3">
      <c r="A20">
        <v>2004</v>
      </c>
      <c r="B20" s="23">
        <v>7415102</v>
      </c>
      <c r="C20" s="23">
        <v>3628696</v>
      </c>
      <c r="D20" s="23">
        <v>3786406</v>
      </c>
    </row>
    <row r="21" spans="1:4" x14ac:dyDescent="0.3">
      <c r="A21">
        <v>2005</v>
      </c>
      <c r="B21" s="23">
        <v>7459128</v>
      </c>
      <c r="C21" s="23">
        <v>3652502</v>
      </c>
      <c r="D21" s="23">
        <v>3806626</v>
      </c>
    </row>
    <row r="22" spans="1:4" x14ac:dyDescent="0.3">
      <c r="A22">
        <v>2006</v>
      </c>
      <c r="B22" s="23">
        <v>7508739</v>
      </c>
      <c r="C22" s="23">
        <v>3679359</v>
      </c>
      <c r="D22" s="23">
        <v>3829380</v>
      </c>
    </row>
    <row r="23" spans="1:4" x14ac:dyDescent="0.3">
      <c r="A23">
        <v>2007</v>
      </c>
      <c r="B23" s="23">
        <v>7593494</v>
      </c>
      <c r="C23" s="23">
        <v>3727014</v>
      </c>
      <c r="D23" s="23">
        <v>3866480</v>
      </c>
    </row>
    <row r="24" spans="1:4" x14ac:dyDescent="0.3">
      <c r="A24">
        <v>2008</v>
      </c>
      <c r="B24" s="23">
        <v>7701856</v>
      </c>
      <c r="C24" s="23">
        <v>3786675</v>
      </c>
      <c r="D24" s="23">
        <v>3915181</v>
      </c>
    </row>
    <row r="25" spans="1:4" x14ac:dyDescent="0.3">
      <c r="A25">
        <v>2009</v>
      </c>
      <c r="B25" s="23">
        <v>7785806</v>
      </c>
      <c r="C25" s="23">
        <v>3830566</v>
      </c>
      <c r="D25" s="23">
        <v>3955240</v>
      </c>
    </row>
    <row r="26" spans="1:4" x14ac:dyDescent="0.3">
      <c r="A26">
        <v>2010</v>
      </c>
      <c r="B26" s="23">
        <v>7870134</v>
      </c>
      <c r="C26" s="23">
        <v>3877426</v>
      </c>
      <c r="D26" s="23">
        <v>3992708</v>
      </c>
    </row>
    <row r="27" spans="1:4" x14ac:dyDescent="0.3">
      <c r="A27">
        <v>2011</v>
      </c>
      <c r="B27" s="23">
        <v>7954662</v>
      </c>
      <c r="C27" s="23">
        <v>3922253</v>
      </c>
      <c r="D27" s="23">
        <v>4032409</v>
      </c>
    </row>
    <row r="28" spans="1:4" x14ac:dyDescent="0.3">
      <c r="A28">
        <v>2012</v>
      </c>
      <c r="B28" s="23">
        <v>8039060</v>
      </c>
      <c r="C28" s="23">
        <v>3968524</v>
      </c>
      <c r="D28" s="23">
        <v>4070536</v>
      </c>
    </row>
    <row r="29" spans="1:4" x14ac:dyDescent="0.3">
      <c r="A29">
        <v>2013</v>
      </c>
      <c r="B29" s="23">
        <v>8139631</v>
      </c>
      <c r="C29" s="23">
        <v>4022091</v>
      </c>
      <c r="D29" s="23">
        <v>4117540</v>
      </c>
    </row>
    <row r="30" spans="1:4" x14ac:dyDescent="0.3">
      <c r="A30">
        <v>2014</v>
      </c>
      <c r="B30" s="23">
        <v>8237666</v>
      </c>
      <c r="C30" s="23">
        <v>4073880</v>
      </c>
      <c r="D30" s="23">
        <v>4163786</v>
      </c>
    </row>
    <row r="31" spans="1:4" x14ac:dyDescent="0.3">
      <c r="A31">
        <v>2015</v>
      </c>
      <c r="B31" s="23">
        <v>8327126</v>
      </c>
      <c r="C31" s="23">
        <v>4121471</v>
      </c>
      <c r="D31" s="23">
        <v>4205655</v>
      </c>
    </row>
    <row r="32" spans="1:4" x14ac:dyDescent="0.3">
      <c r="A32">
        <v>2016</v>
      </c>
      <c r="B32" s="23">
        <v>8419550</v>
      </c>
      <c r="C32" s="23">
        <v>4173437</v>
      </c>
      <c r="D32" s="23">
        <v>4246113</v>
      </c>
    </row>
    <row r="33" spans="1:4" x14ac:dyDescent="0.3">
      <c r="A33">
        <v>2017</v>
      </c>
      <c r="B33" s="23">
        <v>8484130</v>
      </c>
      <c r="C33" s="23">
        <v>4206434</v>
      </c>
      <c r="D33" s="23">
        <v>4277696</v>
      </c>
    </row>
    <row r="34" spans="1:4" x14ac:dyDescent="0.3">
      <c r="A34">
        <v>2018</v>
      </c>
      <c r="B34" s="23">
        <v>8544527</v>
      </c>
      <c r="C34" s="23">
        <v>4237121</v>
      </c>
      <c r="D34" s="23">
        <v>4307406</v>
      </c>
    </row>
    <row r="35" spans="1:4" x14ac:dyDescent="0.3">
      <c r="A35">
        <v>2019</v>
      </c>
      <c r="B35" s="23">
        <v>8606033</v>
      </c>
      <c r="C35" s="23">
        <v>4268863</v>
      </c>
      <c r="D35" s="23">
        <v>4337170</v>
      </c>
    </row>
    <row r="36" spans="1:4" x14ac:dyDescent="0.3">
      <c r="A36">
        <v>2020</v>
      </c>
      <c r="B36" s="23">
        <v>8670300</v>
      </c>
      <c r="C36" s="23">
        <v>4302599</v>
      </c>
      <c r="D36" s="23">
        <v>4367701</v>
      </c>
    </row>
    <row r="37" spans="1:4" x14ac:dyDescent="0.3">
      <c r="A37">
        <v>2021</v>
      </c>
      <c r="B37" s="23">
        <v>8738791</v>
      </c>
      <c r="C37" s="23">
        <v>4338203</v>
      </c>
      <c r="D37" s="23">
        <v>4400588</v>
      </c>
    </row>
    <row r="38" spans="1:4" x14ac:dyDescent="0.3">
      <c r="A38">
        <v>2022</v>
      </c>
      <c r="B38" s="23">
        <v>8815385</v>
      </c>
      <c r="C38" s="23">
        <v>4379953</v>
      </c>
      <c r="D38" s="23">
        <v>4435432</v>
      </c>
    </row>
    <row r="39" spans="1:4" x14ac:dyDescent="0.3">
      <c r="A39">
        <v>2023</v>
      </c>
      <c r="B39" s="23">
        <v>8962258</v>
      </c>
      <c r="C39" s="23">
        <v>4451532</v>
      </c>
      <c r="D39" s="23">
        <v>4510726</v>
      </c>
    </row>
    <row r="40" spans="1:4" x14ac:dyDescent="0.3">
      <c r="A40">
        <v>2024</v>
      </c>
      <c r="B40" s="23">
        <v>9051029</v>
      </c>
      <c r="C40" s="23">
        <v>4500389</v>
      </c>
      <c r="D40" s="23">
        <v>4550640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E27B-17DD-4F95-B7B9-7EE0346EC760}">
  <dimension ref="A1:Q447"/>
  <sheetViews>
    <sheetView workbookViewId="0">
      <selection activeCell="Q24" sqref="Q24"/>
    </sheetView>
  </sheetViews>
  <sheetFormatPr baseColWidth="10" defaultRowHeight="14.4" x14ac:dyDescent="0.3"/>
  <cols>
    <col min="1" max="1" width="22.33203125" bestFit="1" customWidth="1"/>
    <col min="2" max="7" width="0" hidden="1" customWidth="1"/>
    <col min="9" max="9" width="14.77734375" hidden="1" customWidth="1"/>
    <col min="10" max="10" width="9.77734375" hidden="1" customWidth="1"/>
    <col min="11" max="12" width="14.33203125" hidden="1" customWidth="1"/>
    <col min="13" max="13" width="13" hidden="1" customWidth="1"/>
    <col min="14" max="14" width="7.5546875" hidden="1" customWidth="1"/>
    <col min="15" max="15" width="13" bestFit="1" customWidth="1"/>
    <col min="16" max="16" width="11.109375" hidden="1" customWidth="1"/>
  </cols>
  <sheetData>
    <row r="1" spans="1:16" x14ac:dyDescent="0.3">
      <c r="A1" s="5" t="s">
        <v>24</v>
      </c>
      <c r="B1" s="1"/>
      <c r="C1" s="4" t="s">
        <v>25</v>
      </c>
      <c r="D1" s="3"/>
      <c r="E1" s="3"/>
      <c r="F1" s="3"/>
      <c r="G1" s="3"/>
      <c r="H1" s="5"/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6" t="s">
        <v>32</v>
      </c>
      <c r="P1" s="6" t="s">
        <v>33</v>
      </c>
    </row>
    <row r="2" spans="1:16" x14ac:dyDescent="0.3">
      <c r="A2" s="8"/>
      <c r="B2" s="5" t="s">
        <v>34</v>
      </c>
      <c r="C2" s="5" t="s">
        <v>35</v>
      </c>
      <c r="D2" s="10" t="s">
        <v>36</v>
      </c>
      <c r="E2" s="14" t="s">
        <v>37</v>
      </c>
      <c r="F2" s="14" t="s">
        <v>38</v>
      </c>
      <c r="G2" s="14" t="s">
        <v>39</v>
      </c>
      <c r="H2" s="5" t="s">
        <v>40</v>
      </c>
      <c r="I2" s="5" t="s">
        <v>41</v>
      </c>
      <c r="J2" s="5" t="s">
        <v>42</v>
      </c>
      <c r="K2" s="5"/>
      <c r="L2" s="5"/>
      <c r="M2" s="5" t="s">
        <v>43</v>
      </c>
      <c r="N2" s="5"/>
      <c r="O2" s="6"/>
      <c r="P2" s="6" t="s">
        <v>44</v>
      </c>
    </row>
    <row r="3" spans="1:16" x14ac:dyDescent="0.3">
      <c r="A3" s="6"/>
      <c r="B3" s="5"/>
      <c r="C3" s="5"/>
      <c r="D3" s="10" t="s">
        <v>45</v>
      </c>
      <c r="E3" s="14" t="s">
        <v>46</v>
      </c>
      <c r="F3" s="14" t="s">
        <v>47</v>
      </c>
      <c r="G3" s="14" t="s">
        <v>47</v>
      </c>
      <c r="H3" s="5"/>
      <c r="I3" s="5"/>
      <c r="J3" s="5"/>
      <c r="K3" s="11" t="s">
        <v>48</v>
      </c>
      <c r="L3" s="11" t="s">
        <v>48</v>
      </c>
      <c r="M3" s="5"/>
      <c r="N3" s="8"/>
      <c r="O3" s="6"/>
      <c r="P3" s="6" t="s">
        <v>49</v>
      </c>
    </row>
    <row r="4" spans="1:16" x14ac:dyDescent="0.3">
      <c r="A4" s="6"/>
      <c r="B4" s="2"/>
      <c r="C4" s="2"/>
      <c r="D4" s="2"/>
      <c r="E4" s="15"/>
      <c r="F4" s="13" t="s">
        <v>50</v>
      </c>
      <c r="G4" s="15"/>
      <c r="H4" s="5"/>
      <c r="I4" s="5"/>
      <c r="J4" s="5"/>
      <c r="K4" s="5"/>
      <c r="L4" s="5"/>
      <c r="M4" s="5"/>
      <c r="N4" s="5"/>
      <c r="O4" s="6"/>
      <c r="P4" s="9"/>
    </row>
    <row r="5" spans="1:16" x14ac:dyDescent="0.3">
      <c r="A5" s="5" t="s">
        <v>51</v>
      </c>
      <c r="B5" s="1"/>
      <c r="C5" s="4" t="s">
        <v>52</v>
      </c>
      <c r="D5" s="2"/>
      <c r="E5" s="16"/>
      <c r="F5" s="16"/>
      <c r="G5" s="16"/>
      <c r="H5" s="5"/>
      <c r="I5" s="5" t="s">
        <v>53</v>
      </c>
      <c r="J5" s="5" t="s">
        <v>54</v>
      </c>
      <c r="K5" s="5" t="s">
        <v>55</v>
      </c>
      <c r="L5" s="5" t="s">
        <v>56</v>
      </c>
      <c r="M5" s="5" t="s">
        <v>57</v>
      </c>
      <c r="N5" s="5" t="s">
        <v>58</v>
      </c>
      <c r="O5" s="6" t="s">
        <v>57</v>
      </c>
      <c r="P5" s="6" t="s">
        <v>59</v>
      </c>
    </row>
    <row r="6" spans="1:16" x14ac:dyDescent="0.3">
      <c r="A6" s="5" t="s">
        <v>24</v>
      </c>
      <c r="B6" s="1"/>
      <c r="C6" s="4" t="s">
        <v>25</v>
      </c>
      <c r="D6" s="3"/>
      <c r="E6" s="3"/>
      <c r="F6" s="3"/>
      <c r="G6" s="3"/>
      <c r="H6" s="5"/>
      <c r="I6" s="5" t="s">
        <v>26</v>
      </c>
      <c r="J6" s="5" t="s">
        <v>27</v>
      </c>
      <c r="K6" s="5" t="s">
        <v>28</v>
      </c>
      <c r="L6" s="5" t="s">
        <v>29</v>
      </c>
      <c r="M6" s="5" t="s">
        <v>30</v>
      </c>
      <c r="N6" s="5" t="s">
        <v>31</v>
      </c>
      <c r="O6" s="6" t="s">
        <v>32</v>
      </c>
      <c r="P6" s="6" t="s">
        <v>33</v>
      </c>
    </row>
    <row r="7" spans="1:16" x14ac:dyDescent="0.3">
      <c r="A7" s="8"/>
      <c r="B7" s="5" t="s">
        <v>34</v>
      </c>
      <c r="C7" s="5" t="s">
        <v>35</v>
      </c>
      <c r="D7" s="10" t="s">
        <v>36</v>
      </c>
      <c r="E7" s="14" t="s">
        <v>37</v>
      </c>
      <c r="F7" s="14" t="s">
        <v>38</v>
      </c>
      <c r="G7" s="14" t="s">
        <v>39</v>
      </c>
      <c r="H7" s="5" t="s">
        <v>40</v>
      </c>
      <c r="I7" s="5" t="s">
        <v>41</v>
      </c>
      <c r="J7" s="5" t="s">
        <v>42</v>
      </c>
      <c r="K7" s="5"/>
      <c r="L7" s="5"/>
      <c r="M7" s="5" t="s">
        <v>43</v>
      </c>
      <c r="N7" s="5"/>
      <c r="O7" s="6"/>
      <c r="P7" s="6" t="s">
        <v>44</v>
      </c>
    </row>
    <row r="8" spans="1:16" x14ac:dyDescent="0.3">
      <c r="A8" s="6"/>
      <c r="B8" s="5"/>
      <c r="C8" s="5"/>
      <c r="D8" s="10" t="s">
        <v>45</v>
      </c>
      <c r="E8" s="14" t="s">
        <v>46</v>
      </c>
      <c r="F8" s="14" t="s">
        <v>47</v>
      </c>
      <c r="G8" s="14" t="s">
        <v>47</v>
      </c>
      <c r="H8" s="5"/>
      <c r="I8" s="5"/>
      <c r="J8" s="5"/>
      <c r="K8" s="11" t="s">
        <v>48</v>
      </c>
      <c r="L8" s="11" t="s">
        <v>48</v>
      </c>
      <c r="M8" s="5"/>
      <c r="N8" s="8"/>
      <c r="O8" s="6"/>
      <c r="P8" s="6" t="s">
        <v>49</v>
      </c>
    </row>
    <row r="9" spans="1:16" x14ac:dyDescent="0.3">
      <c r="A9" s="6"/>
      <c r="B9" s="2"/>
      <c r="C9" s="2"/>
      <c r="D9" s="2"/>
      <c r="E9" s="15"/>
      <c r="F9" s="13" t="s">
        <v>50</v>
      </c>
      <c r="G9" s="15"/>
      <c r="H9" s="5"/>
      <c r="I9" s="5"/>
      <c r="J9" s="5"/>
      <c r="K9" s="5"/>
      <c r="L9" s="5"/>
      <c r="M9" s="5"/>
      <c r="N9" s="5"/>
      <c r="O9" s="6"/>
      <c r="P9" s="9"/>
    </row>
    <row r="10" spans="1:16" x14ac:dyDescent="0.3">
      <c r="A10" s="5" t="s">
        <v>51</v>
      </c>
      <c r="B10" s="1"/>
      <c r="C10" s="4" t="s">
        <v>52</v>
      </c>
      <c r="D10" s="2"/>
      <c r="E10" s="16"/>
      <c r="F10" s="16"/>
      <c r="G10" s="16"/>
      <c r="H10" s="5"/>
      <c r="I10" s="5" t="s">
        <v>53</v>
      </c>
      <c r="J10" s="5" t="s">
        <v>54</v>
      </c>
      <c r="K10" s="5" t="s">
        <v>55</v>
      </c>
      <c r="L10" s="5" t="s">
        <v>56</v>
      </c>
      <c r="M10" s="5" t="s">
        <v>57</v>
      </c>
      <c r="N10" s="5" t="s">
        <v>58</v>
      </c>
      <c r="O10" s="6" t="s">
        <v>57</v>
      </c>
      <c r="P10" s="6" t="s">
        <v>59</v>
      </c>
    </row>
    <row r="11" spans="1:16" x14ac:dyDescent="0.3">
      <c r="A11" s="1"/>
      <c r="B11" s="5" t="s">
        <v>60</v>
      </c>
      <c r="C11" s="5" t="s">
        <v>60</v>
      </c>
      <c r="D11" s="10" t="s">
        <v>60</v>
      </c>
      <c r="E11" s="14" t="s">
        <v>60</v>
      </c>
      <c r="F11" s="14" t="s">
        <v>61</v>
      </c>
      <c r="G11" s="14" t="s">
        <v>62</v>
      </c>
      <c r="H11" s="5" t="s">
        <v>40</v>
      </c>
      <c r="I11" s="5" t="s">
        <v>63</v>
      </c>
      <c r="J11" s="5" t="s">
        <v>64</v>
      </c>
      <c r="K11" s="5"/>
      <c r="L11" s="5"/>
      <c r="M11" s="5" t="s">
        <v>65</v>
      </c>
      <c r="N11" s="5"/>
      <c r="O11" s="6" t="s">
        <v>66</v>
      </c>
      <c r="P11" s="6" t="s">
        <v>67</v>
      </c>
    </row>
    <row r="12" spans="1:16" x14ac:dyDescent="0.3">
      <c r="A12" s="6"/>
      <c r="B12" s="5" t="s">
        <v>68</v>
      </c>
      <c r="C12" s="5" t="s">
        <v>69</v>
      </c>
      <c r="D12" s="10" t="s">
        <v>70</v>
      </c>
      <c r="E12" s="14" t="s">
        <v>71</v>
      </c>
      <c r="F12" s="7"/>
      <c r="G12" s="14" t="s">
        <v>72</v>
      </c>
      <c r="H12" s="5"/>
      <c r="I12" s="5"/>
      <c r="J12" s="8"/>
      <c r="K12" s="20" t="s">
        <v>73</v>
      </c>
      <c r="L12" s="20" t="s">
        <v>73</v>
      </c>
      <c r="M12" s="8"/>
      <c r="N12" s="5"/>
      <c r="O12" s="6"/>
      <c r="P12" s="6" t="s">
        <v>74</v>
      </c>
    </row>
    <row r="13" spans="1:16" x14ac:dyDescent="0.3">
      <c r="A13" s="5"/>
      <c r="B13" s="5"/>
      <c r="C13" s="5"/>
      <c r="D13" s="10" t="s">
        <v>75</v>
      </c>
      <c r="E13" s="15"/>
      <c r="F13" s="13" t="s">
        <v>76</v>
      </c>
      <c r="G13" s="15"/>
      <c r="H13" s="5"/>
      <c r="I13" s="1"/>
      <c r="J13" s="2"/>
      <c r="K13" s="20"/>
      <c r="L13" s="20"/>
      <c r="M13" s="2"/>
      <c r="N13" s="2"/>
      <c r="O13" s="17"/>
      <c r="P13" s="1"/>
    </row>
    <row r="14" spans="1:16" x14ac:dyDescent="0.3">
      <c r="A14" s="5"/>
      <c r="B14" s="2"/>
      <c r="C14" s="2"/>
      <c r="D14" s="2"/>
      <c r="E14" s="2"/>
      <c r="F14" s="2"/>
      <c r="G14" s="2"/>
      <c r="H14" s="2"/>
      <c r="I14" s="1"/>
      <c r="J14" s="2"/>
      <c r="K14" s="2"/>
      <c r="L14" s="2"/>
      <c r="M14" s="2"/>
      <c r="N14" s="2"/>
      <c r="O14" s="17"/>
      <c r="P14" s="17"/>
    </row>
    <row r="15" spans="1:16" x14ac:dyDescent="0.3">
      <c r="A15" s="10" t="s">
        <v>77</v>
      </c>
      <c r="B15" s="3">
        <v>2009</v>
      </c>
      <c r="C15" s="3">
        <v>2185</v>
      </c>
      <c r="D15" s="3">
        <v>134</v>
      </c>
      <c r="E15" s="10" t="s">
        <v>78</v>
      </c>
      <c r="F15" s="10" t="s">
        <v>78</v>
      </c>
      <c r="G15" s="10" t="s">
        <v>78</v>
      </c>
      <c r="H15" s="1">
        <v>4328</v>
      </c>
      <c r="I15" s="3">
        <v>49</v>
      </c>
      <c r="J15" s="1">
        <v>4279</v>
      </c>
      <c r="K15" s="3">
        <v>2616</v>
      </c>
      <c r="L15" s="3">
        <v>1974</v>
      </c>
      <c r="M15" s="1">
        <v>4921</v>
      </c>
      <c r="N15" s="3">
        <v>332</v>
      </c>
      <c r="O15" s="7">
        <v>4589</v>
      </c>
      <c r="P15" s="7">
        <v>642</v>
      </c>
    </row>
    <row r="16" spans="1:16" x14ac:dyDescent="0.3">
      <c r="A16" s="10" t="s">
        <v>79</v>
      </c>
      <c r="B16" s="3">
        <v>1805</v>
      </c>
      <c r="C16" s="3">
        <v>1964</v>
      </c>
      <c r="D16" s="3">
        <v>160</v>
      </c>
      <c r="E16" s="10" t="s">
        <v>78</v>
      </c>
      <c r="F16" s="10" t="s">
        <v>78</v>
      </c>
      <c r="G16" s="10" t="s">
        <v>78</v>
      </c>
      <c r="H16" s="1">
        <v>3929</v>
      </c>
      <c r="I16" s="3">
        <v>67</v>
      </c>
      <c r="J16" s="1">
        <v>3862</v>
      </c>
      <c r="K16" s="3">
        <v>2113</v>
      </c>
      <c r="L16" s="3">
        <v>1741</v>
      </c>
      <c r="M16" s="1">
        <v>4234</v>
      </c>
      <c r="N16" s="3">
        <v>313</v>
      </c>
      <c r="O16" s="7">
        <v>3921</v>
      </c>
      <c r="P16" s="7">
        <v>372</v>
      </c>
    </row>
    <row r="17" spans="1:16" x14ac:dyDescent="0.3">
      <c r="A17" s="10" t="s">
        <v>80</v>
      </c>
      <c r="B17" s="3">
        <v>2437</v>
      </c>
      <c r="C17" s="3">
        <v>2172</v>
      </c>
      <c r="D17" s="3">
        <v>127</v>
      </c>
      <c r="E17" s="10" t="s">
        <v>78</v>
      </c>
      <c r="F17" s="10" t="s">
        <v>78</v>
      </c>
      <c r="G17" s="10" t="s">
        <v>78</v>
      </c>
      <c r="H17" s="1">
        <v>4736</v>
      </c>
      <c r="I17" s="3">
        <v>40</v>
      </c>
      <c r="J17" s="1">
        <v>4696</v>
      </c>
      <c r="K17" s="3">
        <v>1895</v>
      </c>
      <c r="L17" s="3">
        <v>2100</v>
      </c>
      <c r="M17" s="1">
        <v>4491</v>
      </c>
      <c r="N17" s="3">
        <v>334</v>
      </c>
      <c r="O17" s="7">
        <v>4157</v>
      </c>
      <c r="P17" s="7">
        <v>-205</v>
      </c>
    </row>
    <row r="18" spans="1:16" x14ac:dyDescent="0.3">
      <c r="A18" s="10" t="s">
        <v>81</v>
      </c>
      <c r="B18" s="3">
        <v>2220</v>
      </c>
      <c r="C18" s="3">
        <v>2105</v>
      </c>
      <c r="D18" s="3">
        <v>72</v>
      </c>
      <c r="E18" s="10" t="s">
        <v>78</v>
      </c>
      <c r="F18" s="10" t="s">
        <v>78</v>
      </c>
      <c r="G18" s="10" t="s">
        <v>78</v>
      </c>
      <c r="H18" s="1">
        <v>4397</v>
      </c>
      <c r="I18" s="3">
        <v>62</v>
      </c>
      <c r="J18" s="1">
        <v>4335</v>
      </c>
      <c r="K18" s="3">
        <v>1799</v>
      </c>
      <c r="L18" s="3">
        <v>2015</v>
      </c>
      <c r="M18" s="1">
        <v>4119</v>
      </c>
      <c r="N18" s="3">
        <v>323</v>
      </c>
      <c r="O18" s="7">
        <v>3796</v>
      </c>
      <c r="P18" s="7">
        <v>-216</v>
      </c>
    </row>
    <row r="19" spans="1:16" x14ac:dyDescent="0.3">
      <c r="A19" s="10" t="s">
        <v>82</v>
      </c>
      <c r="B19" s="3">
        <v>2897</v>
      </c>
      <c r="C19" s="3">
        <v>1940</v>
      </c>
      <c r="D19" s="3">
        <v>60</v>
      </c>
      <c r="E19" s="10" t="s">
        <v>78</v>
      </c>
      <c r="F19" s="10" t="s">
        <v>78</v>
      </c>
      <c r="G19" s="10" t="s">
        <v>78</v>
      </c>
      <c r="H19" s="1">
        <v>4897</v>
      </c>
      <c r="I19" s="3">
        <v>249</v>
      </c>
      <c r="J19" s="1">
        <v>4648</v>
      </c>
      <c r="K19" s="3">
        <v>1423</v>
      </c>
      <c r="L19" s="3">
        <v>2202</v>
      </c>
      <c r="M19" s="1">
        <v>3869</v>
      </c>
      <c r="N19" s="3">
        <v>288</v>
      </c>
      <c r="O19" s="7">
        <v>3581</v>
      </c>
      <c r="P19" s="7">
        <v>-779</v>
      </c>
    </row>
    <row r="20" spans="1:16" x14ac:dyDescent="0.3">
      <c r="A20" s="10" t="s">
        <v>83</v>
      </c>
      <c r="B20" s="3">
        <v>3381</v>
      </c>
      <c r="C20" s="3">
        <v>1188</v>
      </c>
      <c r="D20" s="3">
        <v>54</v>
      </c>
      <c r="E20" s="10" t="s">
        <v>78</v>
      </c>
      <c r="F20" s="10" t="s">
        <v>78</v>
      </c>
      <c r="G20" s="10" t="s">
        <v>78</v>
      </c>
      <c r="H20" s="1">
        <v>4623</v>
      </c>
      <c r="I20" s="3">
        <v>212</v>
      </c>
      <c r="J20" s="1">
        <v>4411</v>
      </c>
      <c r="K20" s="3">
        <v>1521</v>
      </c>
      <c r="L20" s="3">
        <v>2158</v>
      </c>
      <c r="M20" s="1">
        <v>3774</v>
      </c>
      <c r="N20" s="3">
        <v>261</v>
      </c>
      <c r="O20" s="7">
        <v>3513</v>
      </c>
      <c r="P20" s="7">
        <v>-637</v>
      </c>
    </row>
    <row r="21" spans="1:16" x14ac:dyDescent="0.3">
      <c r="A21" s="10" t="s">
        <v>84</v>
      </c>
      <c r="B21" s="3">
        <v>3570</v>
      </c>
      <c r="C21" s="3">
        <v>1592</v>
      </c>
      <c r="D21" s="3">
        <v>61</v>
      </c>
      <c r="E21" s="10" t="s">
        <v>78</v>
      </c>
      <c r="F21" s="10" t="s">
        <v>78</v>
      </c>
      <c r="G21" s="10" t="s">
        <v>78</v>
      </c>
      <c r="H21" s="1">
        <v>5223</v>
      </c>
      <c r="I21" s="3">
        <v>321</v>
      </c>
      <c r="J21" s="1">
        <v>4902</v>
      </c>
      <c r="K21" s="3">
        <v>1287</v>
      </c>
      <c r="L21" s="3">
        <v>2557</v>
      </c>
      <c r="M21" s="1">
        <v>3632</v>
      </c>
      <c r="N21" s="3">
        <v>286</v>
      </c>
      <c r="O21" s="7">
        <v>3346</v>
      </c>
      <c r="P21" s="7">
        <v>-1270</v>
      </c>
    </row>
    <row r="22" spans="1:16" x14ac:dyDescent="0.3">
      <c r="A22" s="10" t="s">
        <v>85</v>
      </c>
      <c r="B22" s="3">
        <v>3103</v>
      </c>
      <c r="C22" s="3">
        <v>910</v>
      </c>
      <c r="D22" s="3">
        <v>55</v>
      </c>
      <c r="E22" s="10" t="s">
        <v>78</v>
      </c>
      <c r="F22" s="10" t="s">
        <v>78</v>
      </c>
      <c r="G22" s="10" t="s">
        <v>78</v>
      </c>
      <c r="H22" s="1">
        <v>4068</v>
      </c>
      <c r="I22" s="3">
        <v>305</v>
      </c>
      <c r="J22" s="1">
        <v>3763</v>
      </c>
      <c r="K22" s="3">
        <v>1735</v>
      </c>
      <c r="L22" s="3">
        <v>1850</v>
      </c>
      <c r="M22" s="1">
        <v>3648</v>
      </c>
      <c r="N22" s="3">
        <v>275</v>
      </c>
      <c r="O22" s="7">
        <v>3373</v>
      </c>
      <c r="P22" s="7">
        <v>-115</v>
      </c>
    </row>
    <row r="23" spans="1:16" x14ac:dyDescent="0.3">
      <c r="A23" s="10" t="s">
        <v>86</v>
      </c>
      <c r="B23" s="3">
        <v>2337</v>
      </c>
      <c r="C23" s="3">
        <v>1831</v>
      </c>
      <c r="D23" s="3">
        <v>61</v>
      </c>
      <c r="E23" s="10" t="s">
        <v>78</v>
      </c>
      <c r="F23" s="10" t="s">
        <v>78</v>
      </c>
      <c r="G23" s="10" t="s">
        <v>78</v>
      </c>
      <c r="H23" s="1">
        <v>4229</v>
      </c>
      <c r="I23" s="3">
        <v>172</v>
      </c>
      <c r="J23" s="1">
        <v>4057</v>
      </c>
      <c r="K23" s="3">
        <v>1921</v>
      </c>
      <c r="L23" s="3">
        <v>2173</v>
      </c>
      <c r="M23" s="1">
        <v>3805</v>
      </c>
      <c r="N23" s="3">
        <v>279</v>
      </c>
      <c r="O23" s="7">
        <v>3526</v>
      </c>
      <c r="P23" s="7">
        <v>-252</v>
      </c>
    </row>
    <row r="24" spans="1:16" x14ac:dyDescent="0.3">
      <c r="A24" s="10" t="s">
        <v>87</v>
      </c>
      <c r="B24" s="3">
        <v>2288</v>
      </c>
      <c r="C24" s="3">
        <v>2131</v>
      </c>
      <c r="D24" s="3">
        <v>81</v>
      </c>
      <c r="E24" s="10" t="s">
        <v>78</v>
      </c>
      <c r="F24" s="10" t="s">
        <v>78</v>
      </c>
      <c r="G24" s="10" t="s">
        <v>78</v>
      </c>
      <c r="H24" s="1">
        <v>4500</v>
      </c>
      <c r="I24" s="3">
        <v>92</v>
      </c>
      <c r="J24" s="1">
        <v>4408</v>
      </c>
      <c r="K24" s="3">
        <v>2107</v>
      </c>
      <c r="L24" s="3">
        <v>2228</v>
      </c>
      <c r="M24" s="1">
        <v>4287</v>
      </c>
      <c r="N24" s="3">
        <v>320</v>
      </c>
      <c r="O24" s="7">
        <v>3967</v>
      </c>
      <c r="P24" s="7">
        <v>-121</v>
      </c>
    </row>
    <row r="25" spans="1:16" x14ac:dyDescent="0.3">
      <c r="A25" s="10" t="s">
        <v>88</v>
      </c>
      <c r="B25" s="3">
        <v>2371</v>
      </c>
      <c r="C25" s="3">
        <v>2107</v>
      </c>
      <c r="D25" s="3">
        <v>112</v>
      </c>
      <c r="E25" s="10" t="s">
        <v>78</v>
      </c>
      <c r="F25" s="10" t="s">
        <v>78</v>
      </c>
      <c r="G25" s="10" t="s">
        <v>78</v>
      </c>
      <c r="H25" s="1">
        <v>4590</v>
      </c>
      <c r="I25" s="3">
        <v>64</v>
      </c>
      <c r="J25" s="1">
        <v>4526</v>
      </c>
      <c r="K25" s="3">
        <v>2056</v>
      </c>
      <c r="L25" s="3">
        <v>1949</v>
      </c>
      <c r="M25" s="1">
        <v>4633</v>
      </c>
      <c r="N25" s="3">
        <v>334</v>
      </c>
      <c r="O25" s="7">
        <v>4299</v>
      </c>
      <c r="P25" s="7">
        <v>107</v>
      </c>
    </row>
    <row r="26" spans="1:16" x14ac:dyDescent="0.3">
      <c r="A26" s="10" t="s">
        <v>89</v>
      </c>
      <c r="B26" s="3">
        <v>2257</v>
      </c>
      <c r="C26" s="3">
        <v>2173</v>
      </c>
      <c r="D26" s="3">
        <v>124</v>
      </c>
      <c r="E26" s="10" t="s">
        <v>78</v>
      </c>
      <c r="F26" s="10" t="s">
        <v>78</v>
      </c>
      <c r="G26" s="10" t="s">
        <v>78</v>
      </c>
      <c r="H26" s="1">
        <v>4554</v>
      </c>
      <c r="I26" s="3">
        <v>62</v>
      </c>
      <c r="J26" s="1">
        <v>4492</v>
      </c>
      <c r="K26" s="3">
        <v>2326</v>
      </c>
      <c r="L26" s="3">
        <v>1960</v>
      </c>
      <c r="M26" s="1">
        <v>4858</v>
      </c>
      <c r="N26" s="3">
        <v>348</v>
      </c>
      <c r="O26" s="7">
        <v>4510</v>
      </c>
      <c r="P26" s="7">
        <v>366</v>
      </c>
    </row>
    <row r="27" spans="1:16" x14ac:dyDescent="0.3">
      <c r="A27" s="10" t="s">
        <v>90</v>
      </c>
      <c r="B27" s="3">
        <v>2500</v>
      </c>
      <c r="C27" s="3">
        <v>2178</v>
      </c>
      <c r="D27" s="3">
        <v>136</v>
      </c>
      <c r="E27" s="10" t="s">
        <v>78</v>
      </c>
      <c r="F27" s="10" t="s">
        <v>78</v>
      </c>
      <c r="G27" s="10" t="s">
        <v>78</v>
      </c>
      <c r="H27" s="1">
        <v>4814</v>
      </c>
      <c r="I27" s="3">
        <v>55</v>
      </c>
      <c r="J27" s="1">
        <v>4759</v>
      </c>
      <c r="K27" s="3">
        <v>2338</v>
      </c>
      <c r="L27" s="3">
        <v>2170</v>
      </c>
      <c r="M27" s="1">
        <v>4927</v>
      </c>
      <c r="N27" s="3">
        <v>333</v>
      </c>
      <c r="O27" s="7">
        <v>4594</v>
      </c>
      <c r="P27" s="7">
        <v>168</v>
      </c>
    </row>
    <row r="28" spans="1:16" x14ac:dyDescent="0.3">
      <c r="A28" s="10" t="s">
        <v>91</v>
      </c>
      <c r="B28" s="3">
        <v>2578</v>
      </c>
      <c r="C28" s="3">
        <v>1974</v>
      </c>
      <c r="D28" s="3">
        <v>180</v>
      </c>
      <c r="E28" s="10" t="s">
        <v>78</v>
      </c>
      <c r="F28" s="10" t="s">
        <v>78</v>
      </c>
      <c r="G28" s="10" t="s">
        <v>78</v>
      </c>
      <c r="H28" s="1">
        <v>4732</v>
      </c>
      <c r="I28" s="3">
        <v>26</v>
      </c>
      <c r="J28" s="1">
        <v>4706</v>
      </c>
      <c r="K28" s="3">
        <v>2207</v>
      </c>
      <c r="L28" s="3">
        <v>2186</v>
      </c>
      <c r="M28" s="1">
        <v>4727</v>
      </c>
      <c r="N28" s="3">
        <v>346</v>
      </c>
      <c r="O28" s="7">
        <v>4381</v>
      </c>
      <c r="P28" s="7">
        <v>21</v>
      </c>
    </row>
    <row r="29" spans="1:16" x14ac:dyDescent="0.3">
      <c r="A29" s="10" t="s">
        <v>92</v>
      </c>
      <c r="B29" s="3">
        <v>2218</v>
      </c>
      <c r="C29" s="3">
        <v>2174</v>
      </c>
      <c r="D29" s="3">
        <v>132</v>
      </c>
      <c r="E29" s="10" t="s">
        <v>78</v>
      </c>
      <c r="F29" s="10" t="s">
        <v>78</v>
      </c>
      <c r="G29" s="10" t="s">
        <v>78</v>
      </c>
      <c r="H29" s="1">
        <v>4524</v>
      </c>
      <c r="I29" s="3">
        <v>109</v>
      </c>
      <c r="J29" s="1">
        <v>4415</v>
      </c>
      <c r="K29" s="3">
        <v>2195</v>
      </c>
      <c r="L29" s="3">
        <v>2153</v>
      </c>
      <c r="M29" s="1">
        <v>4457</v>
      </c>
      <c r="N29" s="3">
        <v>330</v>
      </c>
      <c r="O29" s="7">
        <v>4127</v>
      </c>
      <c r="P29" s="7">
        <v>42</v>
      </c>
    </row>
    <row r="30" spans="1:16" x14ac:dyDescent="0.3">
      <c r="A30" s="10" t="s">
        <v>93</v>
      </c>
      <c r="B30" s="3">
        <v>2435</v>
      </c>
      <c r="C30" s="3">
        <v>2067</v>
      </c>
      <c r="D30" s="3">
        <v>73</v>
      </c>
      <c r="E30" s="10" t="s">
        <v>78</v>
      </c>
      <c r="F30" s="10" t="s">
        <v>78</v>
      </c>
      <c r="G30" s="10" t="s">
        <v>78</v>
      </c>
      <c r="H30" s="1">
        <v>4575</v>
      </c>
      <c r="I30" s="3">
        <v>70</v>
      </c>
      <c r="J30" s="1">
        <v>4505</v>
      </c>
      <c r="K30" s="3">
        <v>1838</v>
      </c>
      <c r="L30" s="3">
        <v>2158</v>
      </c>
      <c r="M30" s="1">
        <v>4185</v>
      </c>
      <c r="N30" s="3">
        <v>325</v>
      </c>
      <c r="O30" s="7">
        <v>3860</v>
      </c>
      <c r="P30" s="7">
        <v>-320</v>
      </c>
    </row>
    <row r="31" spans="1:16" x14ac:dyDescent="0.3">
      <c r="A31" s="10" t="s">
        <v>94</v>
      </c>
      <c r="B31" s="3">
        <v>2295</v>
      </c>
      <c r="C31" s="3">
        <v>1847</v>
      </c>
      <c r="D31" s="3">
        <v>143</v>
      </c>
      <c r="E31" s="10" t="s">
        <v>78</v>
      </c>
      <c r="F31" s="10" t="s">
        <v>78</v>
      </c>
      <c r="G31" s="10" t="s">
        <v>78</v>
      </c>
      <c r="H31" s="1">
        <v>4285</v>
      </c>
      <c r="I31" s="3">
        <v>115</v>
      </c>
      <c r="J31" s="1">
        <v>4170</v>
      </c>
      <c r="K31" s="3">
        <v>2066</v>
      </c>
      <c r="L31" s="3">
        <v>2146</v>
      </c>
      <c r="M31" s="1">
        <v>4090</v>
      </c>
      <c r="N31" s="3">
        <v>301</v>
      </c>
      <c r="O31" s="7">
        <v>3789</v>
      </c>
      <c r="P31" s="7">
        <v>-80</v>
      </c>
    </row>
    <row r="32" spans="1:16" x14ac:dyDescent="0.3">
      <c r="A32" s="10" t="s">
        <v>95</v>
      </c>
      <c r="B32" s="3">
        <v>3522</v>
      </c>
      <c r="C32" s="3">
        <v>1026</v>
      </c>
      <c r="D32" s="3">
        <v>59</v>
      </c>
      <c r="E32" s="10" t="s">
        <v>78</v>
      </c>
      <c r="F32" s="10" t="s">
        <v>78</v>
      </c>
      <c r="G32" s="10" t="s">
        <v>78</v>
      </c>
      <c r="H32" s="1">
        <v>4607</v>
      </c>
      <c r="I32" s="3">
        <v>357</v>
      </c>
      <c r="J32" s="1">
        <v>4250</v>
      </c>
      <c r="K32" s="3">
        <v>1927</v>
      </c>
      <c r="L32" s="3">
        <v>2372</v>
      </c>
      <c r="M32" s="1">
        <v>3805</v>
      </c>
      <c r="N32" s="3">
        <v>262</v>
      </c>
      <c r="O32" s="7">
        <v>3543</v>
      </c>
      <c r="P32" s="7">
        <v>-445</v>
      </c>
    </row>
    <row r="33" spans="1:16" x14ac:dyDescent="0.3">
      <c r="A33" s="10" t="s">
        <v>96</v>
      </c>
      <c r="B33" s="3">
        <v>3817</v>
      </c>
      <c r="C33" s="3">
        <v>1375</v>
      </c>
      <c r="D33" s="3">
        <v>62</v>
      </c>
      <c r="E33" s="10" t="s">
        <v>78</v>
      </c>
      <c r="F33" s="10" t="s">
        <v>78</v>
      </c>
      <c r="G33" s="10" t="s">
        <v>78</v>
      </c>
      <c r="H33" s="1">
        <v>5254</v>
      </c>
      <c r="I33" s="3">
        <v>420</v>
      </c>
      <c r="J33" s="1">
        <v>4834</v>
      </c>
      <c r="K33" s="3">
        <v>1757</v>
      </c>
      <c r="L33" s="3">
        <v>2954</v>
      </c>
      <c r="M33" s="1">
        <v>3637</v>
      </c>
      <c r="N33" s="3">
        <v>285</v>
      </c>
      <c r="O33" s="7">
        <v>3352</v>
      </c>
      <c r="P33" s="7">
        <v>-1197</v>
      </c>
    </row>
    <row r="34" spans="1:16" x14ac:dyDescent="0.3">
      <c r="A34" s="10" t="s">
        <v>97</v>
      </c>
      <c r="B34" s="3">
        <v>3345</v>
      </c>
      <c r="C34" s="3">
        <v>905</v>
      </c>
      <c r="D34" s="3">
        <v>60</v>
      </c>
      <c r="E34" s="10" t="s">
        <v>78</v>
      </c>
      <c r="F34" s="10" t="s">
        <v>78</v>
      </c>
      <c r="G34" s="10" t="s">
        <v>78</v>
      </c>
      <c r="H34" s="1">
        <v>4310</v>
      </c>
      <c r="I34" s="3">
        <v>344</v>
      </c>
      <c r="J34" s="1">
        <v>3966</v>
      </c>
      <c r="K34" s="3">
        <v>1731</v>
      </c>
      <c r="L34" s="3">
        <v>2000</v>
      </c>
      <c r="M34" s="1">
        <v>3697</v>
      </c>
      <c r="N34" s="3">
        <v>278</v>
      </c>
      <c r="O34" s="7">
        <v>3419</v>
      </c>
      <c r="P34" s="7">
        <v>-269</v>
      </c>
    </row>
    <row r="35" spans="1:16" x14ac:dyDescent="0.3">
      <c r="A35" s="10" t="s">
        <v>98</v>
      </c>
      <c r="B35" s="3">
        <v>2956</v>
      </c>
      <c r="C35" s="3">
        <v>1675</v>
      </c>
      <c r="D35" s="3">
        <v>59</v>
      </c>
      <c r="E35" s="10" t="s">
        <v>78</v>
      </c>
      <c r="F35" s="10" t="s">
        <v>78</v>
      </c>
      <c r="G35" s="10" t="s">
        <v>78</v>
      </c>
      <c r="H35" s="1">
        <v>4690</v>
      </c>
      <c r="I35" s="3">
        <v>253</v>
      </c>
      <c r="J35" s="1">
        <v>4437</v>
      </c>
      <c r="K35" s="3">
        <v>1774</v>
      </c>
      <c r="L35" s="3">
        <v>2364</v>
      </c>
      <c r="M35" s="1">
        <v>3847</v>
      </c>
      <c r="N35" s="3">
        <v>282</v>
      </c>
      <c r="O35" s="7">
        <v>3565</v>
      </c>
      <c r="P35" s="7">
        <v>-590</v>
      </c>
    </row>
    <row r="36" spans="1:16" x14ac:dyDescent="0.3">
      <c r="A36" s="10" t="s">
        <v>99</v>
      </c>
      <c r="B36" s="3">
        <v>2953</v>
      </c>
      <c r="C36" s="3">
        <v>2155</v>
      </c>
      <c r="D36" s="3">
        <v>83</v>
      </c>
      <c r="E36" s="10" t="s">
        <v>78</v>
      </c>
      <c r="F36" s="10" t="s">
        <v>78</v>
      </c>
      <c r="G36" s="10" t="s">
        <v>78</v>
      </c>
      <c r="H36" s="1">
        <v>5191</v>
      </c>
      <c r="I36" s="3">
        <v>71</v>
      </c>
      <c r="J36" s="1">
        <v>5120</v>
      </c>
      <c r="K36" s="3">
        <v>1735</v>
      </c>
      <c r="L36" s="3">
        <v>2464</v>
      </c>
      <c r="M36" s="1">
        <v>4391</v>
      </c>
      <c r="N36" s="3">
        <v>325</v>
      </c>
      <c r="O36" s="7">
        <v>4066</v>
      </c>
      <c r="P36" s="7">
        <v>-729</v>
      </c>
    </row>
    <row r="37" spans="1:16" x14ac:dyDescent="0.3">
      <c r="A37" s="10" t="s">
        <v>100</v>
      </c>
      <c r="B37" s="3">
        <v>2228</v>
      </c>
      <c r="C37" s="3">
        <v>2094</v>
      </c>
      <c r="D37" s="3">
        <v>187</v>
      </c>
      <c r="E37" s="10" t="s">
        <v>78</v>
      </c>
      <c r="F37" s="10" t="s">
        <v>78</v>
      </c>
      <c r="G37" s="10" t="s">
        <v>78</v>
      </c>
      <c r="H37" s="1">
        <v>4509</v>
      </c>
      <c r="I37" s="3">
        <v>42</v>
      </c>
      <c r="J37" s="1">
        <v>4467</v>
      </c>
      <c r="K37" s="3">
        <v>2130</v>
      </c>
      <c r="L37" s="3">
        <v>1927</v>
      </c>
      <c r="M37" s="1">
        <v>4670</v>
      </c>
      <c r="N37" s="3">
        <v>333</v>
      </c>
      <c r="O37" s="7">
        <v>4337</v>
      </c>
      <c r="P37" s="7">
        <v>203</v>
      </c>
    </row>
    <row r="38" spans="1:16" x14ac:dyDescent="0.3">
      <c r="A38" s="10" t="s">
        <v>101</v>
      </c>
      <c r="B38" s="3">
        <v>2235</v>
      </c>
      <c r="C38" s="3">
        <v>2184</v>
      </c>
      <c r="D38" s="3">
        <v>168</v>
      </c>
      <c r="E38" s="10" t="s">
        <v>78</v>
      </c>
      <c r="F38" s="10" t="s">
        <v>78</v>
      </c>
      <c r="G38" s="10" t="s">
        <v>78</v>
      </c>
      <c r="H38" s="1">
        <v>4587</v>
      </c>
      <c r="I38" s="3">
        <v>84</v>
      </c>
      <c r="J38" s="1">
        <v>4503</v>
      </c>
      <c r="K38" s="3">
        <v>2307</v>
      </c>
      <c r="L38" s="3">
        <v>1907</v>
      </c>
      <c r="M38" s="1">
        <v>4903</v>
      </c>
      <c r="N38" s="3">
        <v>350</v>
      </c>
      <c r="O38" s="7">
        <v>4553</v>
      </c>
      <c r="P38" s="7">
        <v>400</v>
      </c>
    </row>
    <row r="39" spans="1:16" x14ac:dyDescent="0.3">
      <c r="A39" s="10" t="s">
        <v>102</v>
      </c>
      <c r="B39" s="3">
        <v>2301</v>
      </c>
      <c r="C39" s="3">
        <v>2176</v>
      </c>
      <c r="D39" s="3">
        <v>219</v>
      </c>
      <c r="E39" s="10" t="s">
        <v>78</v>
      </c>
      <c r="F39" s="10" t="s">
        <v>78</v>
      </c>
      <c r="G39" s="10" t="s">
        <v>78</v>
      </c>
      <c r="H39" s="1">
        <v>4696</v>
      </c>
      <c r="I39" s="3">
        <v>50</v>
      </c>
      <c r="J39" s="1">
        <v>4646</v>
      </c>
      <c r="K39" s="3">
        <v>2350</v>
      </c>
      <c r="L39" s="3">
        <v>1908</v>
      </c>
      <c r="M39" s="1">
        <v>5088</v>
      </c>
      <c r="N39" s="3">
        <v>338</v>
      </c>
      <c r="O39" s="7">
        <v>4750</v>
      </c>
      <c r="P39" s="7">
        <v>442</v>
      </c>
    </row>
    <row r="40" spans="1:16" x14ac:dyDescent="0.3">
      <c r="A40" s="10" t="s">
        <v>103</v>
      </c>
      <c r="B40" s="3">
        <v>2472</v>
      </c>
      <c r="C40" s="3">
        <v>2032</v>
      </c>
      <c r="D40" s="3">
        <v>261</v>
      </c>
      <c r="E40" s="10" t="s">
        <v>78</v>
      </c>
      <c r="F40" s="10" t="s">
        <v>78</v>
      </c>
      <c r="G40" s="10" t="s">
        <v>78</v>
      </c>
      <c r="H40" s="1">
        <v>4765</v>
      </c>
      <c r="I40" s="3">
        <v>43</v>
      </c>
      <c r="J40" s="1">
        <v>4722</v>
      </c>
      <c r="K40" s="3">
        <v>2105</v>
      </c>
      <c r="L40" s="3">
        <v>1854</v>
      </c>
      <c r="M40" s="1">
        <v>4973</v>
      </c>
      <c r="N40" s="3">
        <v>362</v>
      </c>
      <c r="O40" s="7">
        <v>4611</v>
      </c>
      <c r="P40" s="7">
        <v>251</v>
      </c>
    </row>
    <row r="41" spans="1:16" x14ac:dyDescent="0.3">
      <c r="A41" s="10" t="s">
        <v>104</v>
      </c>
      <c r="B41" s="3">
        <v>2174</v>
      </c>
      <c r="C41" s="3">
        <v>2121</v>
      </c>
      <c r="D41" s="3">
        <v>218</v>
      </c>
      <c r="E41" s="10" t="s">
        <v>78</v>
      </c>
      <c r="F41" s="10" t="s">
        <v>78</v>
      </c>
      <c r="G41" s="10" t="s">
        <v>78</v>
      </c>
      <c r="H41" s="1">
        <v>4513</v>
      </c>
      <c r="I41" s="3">
        <v>35</v>
      </c>
      <c r="J41" s="1">
        <v>4478</v>
      </c>
      <c r="K41" s="3">
        <v>2223</v>
      </c>
      <c r="L41" s="3">
        <v>2008</v>
      </c>
      <c r="M41" s="1">
        <v>4693</v>
      </c>
      <c r="N41" s="3">
        <v>345</v>
      </c>
      <c r="O41" s="7">
        <v>4348</v>
      </c>
      <c r="P41" s="7">
        <v>215</v>
      </c>
    </row>
    <row r="42" spans="1:16" x14ac:dyDescent="0.3">
      <c r="A42" s="10" t="s">
        <v>105</v>
      </c>
      <c r="B42" s="3">
        <v>2308</v>
      </c>
      <c r="C42" s="3">
        <v>1836</v>
      </c>
      <c r="D42" s="3">
        <v>69</v>
      </c>
      <c r="E42" s="10" t="s">
        <v>78</v>
      </c>
      <c r="F42" s="10" t="s">
        <v>78</v>
      </c>
      <c r="G42" s="10" t="s">
        <v>78</v>
      </c>
      <c r="H42" s="1">
        <v>4213</v>
      </c>
      <c r="I42" s="3">
        <v>84</v>
      </c>
      <c r="J42" s="1">
        <v>4129</v>
      </c>
      <c r="K42" s="3">
        <v>2129</v>
      </c>
      <c r="L42" s="3">
        <v>2100</v>
      </c>
      <c r="M42" s="1">
        <v>4158</v>
      </c>
      <c r="N42" s="3">
        <v>323</v>
      </c>
      <c r="O42" s="7">
        <v>3835</v>
      </c>
      <c r="P42" s="7">
        <v>29</v>
      </c>
    </row>
    <row r="43" spans="1:16" x14ac:dyDescent="0.3">
      <c r="A43" s="10" t="s">
        <v>106</v>
      </c>
      <c r="B43" s="3">
        <v>3401</v>
      </c>
      <c r="C43" s="3">
        <v>1778</v>
      </c>
      <c r="D43" s="3">
        <v>71</v>
      </c>
      <c r="E43" s="10" t="s">
        <v>78</v>
      </c>
      <c r="F43" s="10" t="s">
        <v>78</v>
      </c>
      <c r="G43" s="10" t="s">
        <v>78</v>
      </c>
      <c r="H43" s="1">
        <v>5250</v>
      </c>
      <c r="I43" s="3">
        <v>215</v>
      </c>
      <c r="J43" s="1">
        <v>5035</v>
      </c>
      <c r="K43" s="3">
        <v>1653</v>
      </c>
      <c r="L43" s="3">
        <v>2750</v>
      </c>
      <c r="M43" s="1">
        <v>3938</v>
      </c>
      <c r="N43" s="3">
        <v>290</v>
      </c>
      <c r="O43" s="7">
        <v>3648</v>
      </c>
      <c r="P43" s="7">
        <v>-1097</v>
      </c>
    </row>
    <row r="44" spans="1:16" x14ac:dyDescent="0.3">
      <c r="A44" s="10" t="s">
        <v>107</v>
      </c>
      <c r="B44" s="3">
        <v>3595</v>
      </c>
      <c r="C44" s="3">
        <v>1256</v>
      </c>
      <c r="D44" s="3">
        <v>67</v>
      </c>
      <c r="E44" s="10" t="s">
        <v>78</v>
      </c>
      <c r="F44" s="10" t="s">
        <v>78</v>
      </c>
      <c r="G44" s="10" t="s">
        <v>78</v>
      </c>
      <c r="H44" s="1">
        <v>4918</v>
      </c>
      <c r="I44" s="3">
        <v>195</v>
      </c>
      <c r="J44" s="1">
        <v>4723</v>
      </c>
      <c r="K44" s="3">
        <v>1464</v>
      </c>
      <c r="L44" s="3">
        <v>2454</v>
      </c>
      <c r="M44" s="1">
        <v>3733</v>
      </c>
      <c r="N44" s="3">
        <v>260</v>
      </c>
      <c r="O44" s="7">
        <v>3473</v>
      </c>
      <c r="P44" s="7">
        <v>-990</v>
      </c>
    </row>
    <row r="45" spans="1:16" x14ac:dyDescent="0.3">
      <c r="A45" s="10" t="s">
        <v>108</v>
      </c>
      <c r="B45" s="3">
        <v>3680</v>
      </c>
      <c r="C45" s="3">
        <v>1616</v>
      </c>
      <c r="D45" s="3">
        <v>62</v>
      </c>
      <c r="E45" s="10" t="s">
        <v>78</v>
      </c>
      <c r="F45" s="10" t="s">
        <v>78</v>
      </c>
      <c r="G45" s="10" t="s">
        <v>78</v>
      </c>
      <c r="H45" s="1">
        <v>5358</v>
      </c>
      <c r="I45" s="3">
        <v>250</v>
      </c>
      <c r="J45" s="1">
        <v>5108</v>
      </c>
      <c r="K45" s="3">
        <v>1268</v>
      </c>
      <c r="L45" s="3">
        <v>2672</v>
      </c>
      <c r="M45" s="1">
        <v>3704</v>
      </c>
      <c r="N45" s="3">
        <v>287</v>
      </c>
      <c r="O45" s="7">
        <v>3417</v>
      </c>
      <c r="P45" s="7">
        <v>-1404</v>
      </c>
    </row>
    <row r="46" spans="1:16" x14ac:dyDescent="0.3">
      <c r="A46" s="10" t="s">
        <v>109</v>
      </c>
      <c r="B46" s="3">
        <v>3532</v>
      </c>
      <c r="C46" s="3">
        <v>1016</v>
      </c>
      <c r="D46" s="3">
        <v>63</v>
      </c>
      <c r="E46" s="10" t="s">
        <v>78</v>
      </c>
      <c r="F46" s="10" t="s">
        <v>78</v>
      </c>
      <c r="G46" s="10" t="s">
        <v>78</v>
      </c>
      <c r="H46" s="1">
        <v>4611</v>
      </c>
      <c r="I46" s="3">
        <v>248</v>
      </c>
      <c r="J46" s="1">
        <v>4363</v>
      </c>
      <c r="K46" s="3">
        <v>1453</v>
      </c>
      <c r="L46" s="3">
        <v>2075</v>
      </c>
      <c r="M46" s="1">
        <v>3741</v>
      </c>
      <c r="N46" s="3">
        <v>278</v>
      </c>
      <c r="O46" s="7">
        <v>3463</v>
      </c>
      <c r="P46" s="7">
        <v>-622</v>
      </c>
    </row>
    <row r="47" spans="1:16" x14ac:dyDescent="0.3">
      <c r="A47" s="10" t="s">
        <v>110</v>
      </c>
      <c r="B47" s="3">
        <v>3058</v>
      </c>
      <c r="C47" s="3">
        <v>1862</v>
      </c>
      <c r="D47" s="3">
        <v>66</v>
      </c>
      <c r="E47" s="10" t="s">
        <v>78</v>
      </c>
      <c r="F47" s="10" t="s">
        <v>78</v>
      </c>
      <c r="G47" s="10" t="s">
        <v>78</v>
      </c>
      <c r="H47" s="1">
        <v>4986</v>
      </c>
      <c r="I47" s="3">
        <v>122</v>
      </c>
      <c r="J47" s="1">
        <v>4864</v>
      </c>
      <c r="K47" s="3">
        <v>1490</v>
      </c>
      <c r="L47" s="3">
        <v>2431</v>
      </c>
      <c r="M47" s="1">
        <v>3923</v>
      </c>
      <c r="N47" s="3">
        <v>285</v>
      </c>
      <c r="O47" s="7">
        <v>3638</v>
      </c>
      <c r="P47" s="7">
        <v>-941</v>
      </c>
    </row>
    <row r="48" spans="1:16" x14ac:dyDescent="0.3">
      <c r="A48" s="10" t="s">
        <v>111</v>
      </c>
      <c r="B48" s="3">
        <v>2522</v>
      </c>
      <c r="C48" s="3">
        <v>2164</v>
      </c>
      <c r="D48" s="3">
        <v>132</v>
      </c>
      <c r="E48" s="10" t="s">
        <v>78</v>
      </c>
      <c r="F48" s="10" t="s">
        <v>78</v>
      </c>
      <c r="G48" s="10" t="s">
        <v>78</v>
      </c>
      <c r="H48" s="1">
        <v>4818</v>
      </c>
      <c r="I48" s="3">
        <v>67</v>
      </c>
      <c r="J48" s="1">
        <v>4751</v>
      </c>
      <c r="K48" s="3">
        <v>1741</v>
      </c>
      <c r="L48" s="3">
        <v>2060</v>
      </c>
      <c r="M48" s="1">
        <v>4432</v>
      </c>
      <c r="N48" s="3">
        <v>327</v>
      </c>
      <c r="O48" s="7">
        <v>4105</v>
      </c>
      <c r="P48" s="7">
        <v>-319</v>
      </c>
    </row>
    <row r="49" spans="1:16" x14ac:dyDescent="0.3">
      <c r="A49" s="10" t="s">
        <v>112</v>
      </c>
      <c r="B49" s="3">
        <v>2323</v>
      </c>
      <c r="C49" s="3">
        <v>2066</v>
      </c>
      <c r="D49" s="3">
        <v>147</v>
      </c>
      <c r="E49" s="10" t="s">
        <v>78</v>
      </c>
      <c r="F49" s="10" t="s">
        <v>78</v>
      </c>
      <c r="G49" s="10" t="s">
        <v>78</v>
      </c>
      <c r="H49" s="1">
        <v>4536</v>
      </c>
      <c r="I49" s="3">
        <v>88</v>
      </c>
      <c r="J49" s="1">
        <v>4448</v>
      </c>
      <c r="K49" s="3">
        <v>1916</v>
      </c>
      <c r="L49" s="3">
        <v>1864</v>
      </c>
      <c r="M49" s="1">
        <v>4500</v>
      </c>
      <c r="N49" s="3">
        <v>321</v>
      </c>
      <c r="O49" s="7">
        <v>4179</v>
      </c>
      <c r="P49" s="7">
        <v>52</v>
      </c>
    </row>
    <row r="50" spans="1:16" x14ac:dyDescent="0.3">
      <c r="A50" s="10" t="s">
        <v>113</v>
      </c>
      <c r="B50" s="3">
        <v>2359</v>
      </c>
      <c r="C50" s="3">
        <v>2198</v>
      </c>
      <c r="D50" s="3">
        <v>127</v>
      </c>
      <c r="E50" s="10" t="s">
        <v>78</v>
      </c>
      <c r="F50" s="10" t="s">
        <v>78</v>
      </c>
      <c r="G50" s="10" t="s">
        <v>78</v>
      </c>
      <c r="H50" s="1">
        <v>4684</v>
      </c>
      <c r="I50" s="3">
        <v>41</v>
      </c>
      <c r="J50" s="1">
        <v>4643</v>
      </c>
      <c r="K50" s="3">
        <v>1965</v>
      </c>
      <c r="L50" s="3">
        <v>1870</v>
      </c>
      <c r="M50" s="1">
        <v>4738</v>
      </c>
      <c r="N50" s="3">
        <v>339</v>
      </c>
      <c r="O50" s="7">
        <v>4399</v>
      </c>
      <c r="P50" s="7">
        <v>95</v>
      </c>
    </row>
    <row r="51" spans="1:16" x14ac:dyDescent="0.3">
      <c r="A51" s="10" t="s">
        <v>114</v>
      </c>
      <c r="B51" s="3">
        <v>2418</v>
      </c>
      <c r="C51" s="3">
        <v>2191</v>
      </c>
      <c r="D51" s="3">
        <v>97</v>
      </c>
      <c r="E51" s="10" t="s">
        <v>78</v>
      </c>
      <c r="F51" s="10" t="s">
        <v>78</v>
      </c>
      <c r="G51" s="10" t="s">
        <v>78</v>
      </c>
      <c r="H51" s="1">
        <v>4706</v>
      </c>
      <c r="I51" s="3">
        <v>44</v>
      </c>
      <c r="J51" s="1">
        <v>4662</v>
      </c>
      <c r="K51" s="3">
        <v>2442</v>
      </c>
      <c r="L51" s="3">
        <v>2306</v>
      </c>
      <c r="M51" s="1">
        <v>4798</v>
      </c>
      <c r="N51" s="3">
        <v>321</v>
      </c>
      <c r="O51" s="7">
        <v>4477</v>
      </c>
      <c r="P51" s="7">
        <v>136</v>
      </c>
    </row>
    <row r="52" spans="1:16" x14ac:dyDescent="0.3">
      <c r="A52" s="10" t="s">
        <v>115</v>
      </c>
      <c r="B52" s="4">
        <v>2505</v>
      </c>
      <c r="C52" s="4">
        <v>1987</v>
      </c>
      <c r="D52" s="4">
        <v>91</v>
      </c>
      <c r="E52" s="10" t="s">
        <v>78</v>
      </c>
      <c r="F52" s="10" t="s">
        <v>78</v>
      </c>
      <c r="G52" s="10" t="s">
        <v>78</v>
      </c>
      <c r="H52" s="1">
        <v>4583</v>
      </c>
      <c r="I52" s="4">
        <v>10</v>
      </c>
      <c r="J52" s="1">
        <v>4573</v>
      </c>
      <c r="K52" s="4">
        <v>2338</v>
      </c>
      <c r="L52" s="4">
        <v>2356</v>
      </c>
      <c r="M52" s="1">
        <v>4555</v>
      </c>
      <c r="N52" s="4">
        <v>326</v>
      </c>
      <c r="O52" s="7">
        <v>4229</v>
      </c>
      <c r="P52" s="7">
        <v>-18</v>
      </c>
    </row>
    <row r="53" spans="1:16" x14ac:dyDescent="0.3">
      <c r="A53" s="10" t="s">
        <v>116</v>
      </c>
      <c r="B53" s="4">
        <v>2389</v>
      </c>
      <c r="C53" s="4">
        <v>2193</v>
      </c>
      <c r="D53" s="4">
        <v>112</v>
      </c>
      <c r="E53" s="10" t="s">
        <v>78</v>
      </c>
      <c r="F53" s="10" t="s">
        <v>78</v>
      </c>
      <c r="G53" s="10" t="s">
        <v>78</v>
      </c>
      <c r="H53" s="1">
        <v>4694</v>
      </c>
      <c r="I53" s="4">
        <v>26</v>
      </c>
      <c r="J53" s="1">
        <v>4668</v>
      </c>
      <c r="K53" s="4">
        <v>2477</v>
      </c>
      <c r="L53" s="4">
        <v>2368</v>
      </c>
      <c r="M53" s="1">
        <v>4777</v>
      </c>
      <c r="N53" s="4">
        <v>348</v>
      </c>
      <c r="O53" s="7">
        <v>4429</v>
      </c>
      <c r="P53" s="7">
        <v>109</v>
      </c>
    </row>
    <row r="54" spans="1:16" x14ac:dyDescent="0.3">
      <c r="A54" s="10" t="s">
        <v>117</v>
      </c>
      <c r="B54" s="4">
        <v>2134</v>
      </c>
      <c r="C54" s="4">
        <v>1867</v>
      </c>
      <c r="D54" s="4">
        <v>69</v>
      </c>
      <c r="E54" s="10" t="s">
        <v>78</v>
      </c>
      <c r="F54" s="10" t="s">
        <v>78</v>
      </c>
      <c r="G54" s="10" t="s">
        <v>78</v>
      </c>
      <c r="H54" s="1">
        <v>4070</v>
      </c>
      <c r="I54" s="4">
        <v>43</v>
      </c>
      <c r="J54" s="1">
        <v>4027</v>
      </c>
      <c r="K54" s="4">
        <v>2146</v>
      </c>
      <c r="L54" s="4">
        <v>2181</v>
      </c>
      <c r="M54" s="1">
        <v>3992</v>
      </c>
      <c r="N54" s="4">
        <v>310</v>
      </c>
      <c r="O54" s="7">
        <v>3682</v>
      </c>
      <c r="P54" s="7">
        <v>-35</v>
      </c>
    </row>
    <row r="55" spans="1:16" x14ac:dyDescent="0.3">
      <c r="A55" s="10" t="s">
        <v>118</v>
      </c>
      <c r="B55" s="3">
        <v>2936</v>
      </c>
      <c r="C55" s="3">
        <v>1780</v>
      </c>
      <c r="D55" s="3">
        <v>68</v>
      </c>
      <c r="E55" s="10" t="s">
        <v>78</v>
      </c>
      <c r="F55" s="10" t="s">
        <v>78</v>
      </c>
      <c r="G55" s="10" t="s">
        <v>78</v>
      </c>
      <c r="H55" s="1">
        <v>4784</v>
      </c>
      <c r="I55" s="3">
        <v>142</v>
      </c>
      <c r="J55" s="1">
        <v>4642</v>
      </c>
      <c r="K55" s="3">
        <v>1823</v>
      </c>
      <c r="L55" s="3">
        <v>2662</v>
      </c>
      <c r="M55" s="1">
        <v>3803</v>
      </c>
      <c r="N55" s="3">
        <v>278</v>
      </c>
      <c r="O55" s="7">
        <v>3525</v>
      </c>
      <c r="P55" s="7">
        <v>-839</v>
      </c>
    </row>
    <row r="56" spans="1:16" x14ac:dyDescent="0.3">
      <c r="A56" s="10" t="s">
        <v>119</v>
      </c>
      <c r="B56" s="4">
        <v>3794</v>
      </c>
      <c r="C56" s="4">
        <v>1105</v>
      </c>
      <c r="D56" s="4">
        <v>59</v>
      </c>
      <c r="E56" s="10" t="s">
        <v>78</v>
      </c>
      <c r="F56" s="10" t="s">
        <v>78</v>
      </c>
      <c r="G56" s="10" t="s">
        <v>78</v>
      </c>
      <c r="H56" s="1">
        <v>4958</v>
      </c>
      <c r="I56" s="4">
        <v>207</v>
      </c>
      <c r="J56" s="1">
        <v>4751</v>
      </c>
      <c r="K56" s="4">
        <v>1746</v>
      </c>
      <c r="L56" s="4">
        <v>2725</v>
      </c>
      <c r="M56" s="1">
        <v>3772</v>
      </c>
      <c r="N56" s="4">
        <v>262</v>
      </c>
      <c r="O56" s="7">
        <v>3510</v>
      </c>
      <c r="P56" s="7">
        <v>-979</v>
      </c>
    </row>
    <row r="57" spans="1:16" x14ac:dyDescent="0.3">
      <c r="A57" s="10" t="s">
        <v>120</v>
      </c>
      <c r="B57" s="4">
        <v>3798</v>
      </c>
      <c r="C57" s="4">
        <v>1722</v>
      </c>
      <c r="D57" s="4">
        <v>68</v>
      </c>
      <c r="E57" s="10" t="s">
        <v>78</v>
      </c>
      <c r="F57" s="10" t="s">
        <v>78</v>
      </c>
      <c r="G57" s="10" t="s">
        <v>78</v>
      </c>
      <c r="H57" s="1">
        <v>5588</v>
      </c>
      <c r="I57" s="4">
        <v>206</v>
      </c>
      <c r="J57" s="1">
        <v>5382</v>
      </c>
      <c r="K57" s="4">
        <v>1385</v>
      </c>
      <c r="L57" s="4">
        <v>3108</v>
      </c>
      <c r="M57" s="1">
        <v>3659</v>
      </c>
      <c r="N57" s="4">
        <v>282</v>
      </c>
      <c r="O57" s="7">
        <v>3377</v>
      </c>
      <c r="P57" s="7">
        <v>-1723</v>
      </c>
    </row>
    <row r="58" spans="1:16" x14ac:dyDescent="0.3">
      <c r="A58" s="10" t="s">
        <v>121</v>
      </c>
      <c r="B58" s="3">
        <v>3596</v>
      </c>
      <c r="C58" s="3">
        <v>1042</v>
      </c>
      <c r="D58" s="3">
        <v>64</v>
      </c>
      <c r="E58" s="10" t="s">
        <v>78</v>
      </c>
      <c r="F58" s="10" t="s">
        <v>78</v>
      </c>
      <c r="G58" s="10" t="s">
        <v>78</v>
      </c>
      <c r="H58" s="1">
        <v>4702</v>
      </c>
      <c r="I58" s="3">
        <v>240</v>
      </c>
      <c r="J58" s="1">
        <v>4462</v>
      </c>
      <c r="K58" s="3">
        <v>1551</v>
      </c>
      <c r="L58" s="3">
        <v>2324</v>
      </c>
      <c r="M58" s="1">
        <v>3689</v>
      </c>
      <c r="N58" s="4">
        <v>274</v>
      </c>
      <c r="O58" s="7">
        <v>3415</v>
      </c>
      <c r="P58" s="7">
        <v>-773</v>
      </c>
    </row>
    <row r="59" spans="1:16" x14ac:dyDescent="0.3">
      <c r="A59" s="10" t="s">
        <v>122</v>
      </c>
      <c r="B59" s="4">
        <v>3534</v>
      </c>
      <c r="C59" s="4">
        <v>1633</v>
      </c>
      <c r="D59" s="4">
        <v>69</v>
      </c>
      <c r="E59" s="10" t="s">
        <v>78</v>
      </c>
      <c r="F59" s="10" t="s">
        <v>78</v>
      </c>
      <c r="G59" s="10" t="s">
        <v>78</v>
      </c>
      <c r="H59" s="1">
        <v>5236</v>
      </c>
      <c r="I59" s="4">
        <v>129</v>
      </c>
      <c r="J59" s="1">
        <v>5107</v>
      </c>
      <c r="K59" s="4">
        <v>1690</v>
      </c>
      <c r="L59" s="4">
        <v>2847</v>
      </c>
      <c r="M59" s="1">
        <v>3950</v>
      </c>
      <c r="N59" s="4">
        <v>286</v>
      </c>
      <c r="O59" s="7">
        <v>3664</v>
      </c>
      <c r="P59" s="7">
        <v>-1157</v>
      </c>
    </row>
    <row r="60" spans="1:16" x14ac:dyDescent="0.3">
      <c r="A60" s="10" t="s">
        <v>123</v>
      </c>
      <c r="B60" s="4">
        <v>4151</v>
      </c>
      <c r="C60" s="4">
        <v>2117</v>
      </c>
      <c r="D60" s="4">
        <v>78</v>
      </c>
      <c r="E60" s="10" t="s">
        <v>78</v>
      </c>
      <c r="F60" s="10" t="s">
        <v>78</v>
      </c>
      <c r="G60" s="10" t="s">
        <v>78</v>
      </c>
      <c r="H60" s="1">
        <v>6346</v>
      </c>
      <c r="I60" s="4">
        <v>59</v>
      </c>
      <c r="J60" s="1">
        <v>6287</v>
      </c>
      <c r="K60" s="4">
        <v>1563</v>
      </c>
      <c r="L60" s="4">
        <v>3479</v>
      </c>
      <c r="M60" s="1">
        <v>4371</v>
      </c>
      <c r="N60" s="4">
        <v>326</v>
      </c>
      <c r="O60" s="7">
        <v>4045</v>
      </c>
      <c r="P60" s="7">
        <v>-1916</v>
      </c>
    </row>
    <row r="61" spans="1:16" x14ac:dyDescent="0.3">
      <c r="A61" s="10" t="s">
        <v>124</v>
      </c>
      <c r="B61" s="4">
        <v>2791</v>
      </c>
      <c r="C61" s="4">
        <v>2154</v>
      </c>
      <c r="D61" s="4">
        <v>123</v>
      </c>
      <c r="E61" s="10" t="s">
        <v>78</v>
      </c>
      <c r="F61" s="10" t="s">
        <v>78</v>
      </c>
      <c r="G61" s="10" t="s">
        <v>78</v>
      </c>
      <c r="H61" s="1">
        <v>5068</v>
      </c>
      <c r="I61" s="4">
        <v>24</v>
      </c>
      <c r="J61" s="1">
        <v>5044</v>
      </c>
      <c r="K61" s="4">
        <v>2184</v>
      </c>
      <c r="L61" s="4">
        <v>2454</v>
      </c>
      <c r="M61" s="1">
        <v>4774</v>
      </c>
      <c r="N61" s="4">
        <v>338</v>
      </c>
      <c r="O61" s="7">
        <v>4436</v>
      </c>
      <c r="P61" s="7">
        <v>-270</v>
      </c>
    </row>
    <row r="62" spans="1:16" x14ac:dyDescent="0.3">
      <c r="A62" s="10" t="s">
        <v>125</v>
      </c>
      <c r="B62" s="4">
        <v>2207</v>
      </c>
      <c r="C62" s="4">
        <v>2238</v>
      </c>
      <c r="D62" s="4">
        <v>133</v>
      </c>
      <c r="E62" s="10" t="s">
        <v>78</v>
      </c>
      <c r="F62" s="10" t="s">
        <v>78</v>
      </c>
      <c r="G62" s="10" t="s">
        <v>78</v>
      </c>
      <c r="H62" s="1">
        <v>4578</v>
      </c>
      <c r="I62" s="4">
        <v>56</v>
      </c>
      <c r="J62" s="1">
        <v>4522</v>
      </c>
      <c r="K62" s="4">
        <v>2509</v>
      </c>
      <c r="L62" s="4">
        <v>2243</v>
      </c>
      <c r="M62" s="1">
        <v>4788</v>
      </c>
      <c r="N62" s="4">
        <v>338</v>
      </c>
      <c r="O62" s="7">
        <v>4450</v>
      </c>
      <c r="P62" s="7">
        <v>266</v>
      </c>
    </row>
    <row r="63" spans="1:16" x14ac:dyDescent="0.3">
      <c r="A63" s="10" t="s">
        <v>126</v>
      </c>
      <c r="B63" s="4">
        <v>2551</v>
      </c>
      <c r="C63" s="4">
        <v>2236</v>
      </c>
      <c r="D63" s="4">
        <v>150</v>
      </c>
      <c r="E63" s="10" t="s">
        <v>78</v>
      </c>
      <c r="F63" s="10" t="s">
        <v>78</v>
      </c>
      <c r="G63" s="10" t="s">
        <v>78</v>
      </c>
      <c r="H63" s="1">
        <v>4937</v>
      </c>
      <c r="I63" s="4">
        <v>44</v>
      </c>
      <c r="J63" s="1">
        <v>4893</v>
      </c>
      <c r="K63" s="4">
        <v>2418</v>
      </c>
      <c r="L63" s="4">
        <v>2491</v>
      </c>
      <c r="M63" s="1">
        <v>4820</v>
      </c>
      <c r="N63" s="4">
        <v>319</v>
      </c>
      <c r="O63" s="7">
        <v>4501</v>
      </c>
      <c r="P63" s="7">
        <v>-73</v>
      </c>
    </row>
    <row r="64" spans="1:16" x14ac:dyDescent="0.3">
      <c r="A64" s="10" t="s">
        <v>127</v>
      </c>
      <c r="B64" s="4">
        <v>2706</v>
      </c>
      <c r="C64" s="4">
        <v>1974</v>
      </c>
      <c r="D64" s="4">
        <v>119</v>
      </c>
      <c r="E64" s="10" t="s">
        <v>78</v>
      </c>
      <c r="F64" s="10" t="s">
        <v>78</v>
      </c>
      <c r="G64" s="10" t="s">
        <v>78</v>
      </c>
      <c r="H64" s="1">
        <v>4799</v>
      </c>
      <c r="I64" s="4">
        <v>11</v>
      </c>
      <c r="J64" s="1">
        <v>4788</v>
      </c>
      <c r="K64" s="4">
        <v>2276</v>
      </c>
      <c r="L64" s="4">
        <v>2550</v>
      </c>
      <c r="M64" s="1">
        <v>4514</v>
      </c>
      <c r="N64" s="4">
        <v>321</v>
      </c>
      <c r="O64" s="7">
        <v>4193</v>
      </c>
      <c r="P64" s="7">
        <v>-274</v>
      </c>
    </row>
    <row r="65" spans="1:16" x14ac:dyDescent="0.3">
      <c r="A65" s="10" t="s">
        <v>128</v>
      </c>
      <c r="B65" s="3">
        <v>2679</v>
      </c>
      <c r="C65" s="3">
        <v>2226</v>
      </c>
      <c r="D65" s="3">
        <v>99</v>
      </c>
      <c r="E65" s="10" t="s">
        <v>78</v>
      </c>
      <c r="F65" s="10" t="s">
        <v>78</v>
      </c>
      <c r="G65" s="10" t="s">
        <v>78</v>
      </c>
      <c r="H65" s="1">
        <v>5004</v>
      </c>
      <c r="I65" s="3">
        <v>34</v>
      </c>
      <c r="J65" s="1">
        <v>4970</v>
      </c>
      <c r="K65" s="3">
        <v>2259</v>
      </c>
      <c r="L65" s="3">
        <v>2792</v>
      </c>
      <c r="M65" s="1">
        <v>4437</v>
      </c>
      <c r="N65" s="3">
        <v>320</v>
      </c>
      <c r="O65" s="7">
        <v>4117</v>
      </c>
      <c r="P65" s="7">
        <v>-533</v>
      </c>
    </row>
    <row r="66" spans="1:16" x14ac:dyDescent="0.3">
      <c r="A66" s="10" t="s">
        <v>129</v>
      </c>
      <c r="B66" s="3">
        <v>2690</v>
      </c>
      <c r="C66" s="3">
        <v>2140</v>
      </c>
      <c r="D66" s="3">
        <v>73</v>
      </c>
      <c r="E66" s="10" t="s">
        <v>78</v>
      </c>
      <c r="F66" s="10" t="s">
        <v>78</v>
      </c>
      <c r="G66" s="10" t="s">
        <v>78</v>
      </c>
      <c r="H66" s="1">
        <v>4903</v>
      </c>
      <c r="I66" s="3">
        <v>33</v>
      </c>
      <c r="J66" s="1">
        <v>4870</v>
      </c>
      <c r="K66" s="3">
        <v>1928</v>
      </c>
      <c r="L66" s="3">
        <v>2621</v>
      </c>
      <c r="M66" s="1">
        <v>4177</v>
      </c>
      <c r="N66" s="3">
        <v>321</v>
      </c>
      <c r="O66" s="7">
        <v>3856</v>
      </c>
      <c r="P66" s="7">
        <v>-693</v>
      </c>
    </row>
    <row r="67" spans="1:16" x14ac:dyDescent="0.3">
      <c r="A67" s="10" t="s">
        <v>130</v>
      </c>
      <c r="B67" s="1">
        <v>3617</v>
      </c>
      <c r="C67" s="1">
        <v>1877</v>
      </c>
      <c r="D67" s="1">
        <v>74</v>
      </c>
      <c r="E67" s="10" t="s">
        <v>78</v>
      </c>
      <c r="F67" s="10" t="s">
        <v>78</v>
      </c>
      <c r="G67" s="10" t="s">
        <v>78</v>
      </c>
      <c r="H67" s="1">
        <v>5568</v>
      </c>
      <c r="I67" s="1">
        <v>105</v>
      </c>
      <c r="J67" s="1">
        <v>5463</v>
      </c>
      <c r="K67" s="1">
        <v>1527</v>
      </c>
      <c r="L67" s="1">
        <v>3079</v>
      </c>
      <c r="M67" s="1">
        <v>3911</v>
      </c>
      <c r="N67" s="1">
        <v>282</v>
      </c>
      <c r="O67" s="7">
        <v>3629</v>
      </c>
      <c r="P67" s="7">
        <v>-1552</v>
      </c>
    </row>
    <row r="68" spans="1:16" x14ac:dyDescent="0.3">
      <c r="A68" s="10" t="s">
        <v>131</v>
      </c>
      <c r="B68" s="1">
        <v>4182</v>
      </c>
      <c r="C68" s="1">
        <v>1292</v>
      </c>
      <c r="D68" s="1">
        <v>66</v>
      </c>
      <c r="E68" s="10" t="s">
        <v>78</v>
      </c>
      <c r="F68" s="10" t="s">
        <v>78</v>
      </c>
      <c r="G68" s="10" t="s">
        <v>78</v>
      </c>
      <c r="H68" s="1">
        <v>5540</v>
      </c>
      <c r="I68" s="1">
        <v>173</v>
      </c>
      <c r="J68" s="1">
        <v>5367</v>
      </c>
      <c r="K68" s="1">
        <v>1508</v>
      </c>
      <c r="L68" s="1">
        <v>2992</v>
      </c>
      <c r="M68" s="1">
        <v>3883</v>
      </c>
      <c r="N68" s="1">
        <v>270</v>
      </c>
      <c r="O68" s="7">
        <v>3613</v>
      </c>
      <c r="P68" s="7">
        <v>-1484</v>
      </c>
    </row>
    <row r="69" spans="1:16" x14ac:dyDescent="0.3">
      <c r="A69" s="10" t="s">
        <v>132</v>
      </c>
      <c r="B69" s="1">
        <v>4369</v>
      </c>
      <c r="C69" s="1">
        <v>1397</v>
      </c>
      <c r="D69" s="1">
        <v>76</v>
      </c>
      <c r="E69" s="10" t="s">
        <v>78</v>
      </c>
      <c r="F69" s="10" t="s">
        <v>78</v>
      </c>
      <c r="G69" s="10" t="s">
        <v>78</v>
      </c>
      <c r="H69" s="1">
        <v>5842</v>
      </c>
      <c r="I69" s="1">
        <v>290</v>
      </c>
      <c r="J69" s="1">
        <v>5552</v>
      </c>
      <c r="K69" s="1">
        <v>1477</v>
      </c>
      <c r="L69" s="1">
        <v>3391</v>
      </c>
      <c r="M69" s="1">
        <v>3638</v>
      </c>
      <c r="N69" s="1">
        <v>280</v>
      </c>
      <c r="O69" s="7">
        <v>3358</v>
      </c>
      <c r="P69" s="7">
        <v>-1914</v>
      </c>
    </row>
    <row r="70" spans="1:16" x14ac:dyDescent="0.3">
      <c r="A70" s="10" t="s">
        <v>133</v>
      </c>
      <c r="B70" s="1">
        <v>4155</v>
      </c>
      <c r="C70" s="1">
        <v>1164</v>
      </c>
      <c r="D70" s="1">
        <v>64</v>
      </c>
      <c r="E70" s="10" t="s">
        <v>78</v>
      </c>
      <c r="F70" s="10" t="s">
        <v>78</v>
      </c>
      <c r="G70" s="10" t="s">
        <v>78</v>
      </c>
      <c r="H70" s="1">
        <v>5383</v>
      </c>
      <c r="I70" s="1">
        <v>266</v>
      </c>
      <c r="J70" s="1">
        <v>5117</v>
      </c>
      <c r="K70" s="1">
        <v>1344</v>
      </c>
      <c r="L70" s="1">
        <v>2754</v>
      </c>
      <c r="M70" s="1">
        <v>3707</v>
      </c>
      <c r="N70" s="1">
        <v>276</v>
      </c>
      <c r="O70" s="7">
        <v>3431</v>
      </c>
      <c r="P70" s="7">
        <v>-1410</v>
      </c>
    </row>
    <row r="71" spans="1:16" x14ac:dyDescent="0.3">
      <c r="A71" s="10" t="s">
        <v>134</v>
      </c>
      <c r="B71" s="1">
        <v>4170</v>
      </c>
      <c r="C71" s="1">
        <v>1957</v>
      </c>
      <c r="D71" s="1">
        <v>71</v>
      </c>
      <c r="E71" s="10" t="s">
        <v>78</v>
      </c>
      <c r="F71" s="10" t="s">
        <v>78</v>
      </c>
      <c r="G71" s="10" t="s">
        <v>78</v>
      </c>
      <c r="H71" s="1">
        <v>6198</v>
      </c>
      <c r="I71" s="1">
        <v>171</v>
      </c>
      <c r="J71" s="1">
        <v>6027</v>
      </c>
      <c r="K71" s="1">
        <v>1360</v>
      </c>
      <c r="L71" s="1">
        <v>3403</v>
      </c>
      <c r="M71" s="1">
        <v>3984</v>
      </c>
      <c r="N71" s="1">
        <v>288</v>
      </c>
      <c r="O71" s="7">
        <v>3696</v>
      </c>
      <c r="P71" s="7">
        <v>-2043</v>
      </c>
    </row>
    <row r="72" spans="1:16" x14ac:dyDescent="0.3">
      <c r="A72" s="10" t="s">
        <v>135</v>
      </c>
      <c r="B72" s="1">
        <v>3104</v>
      </c>
      <c r="C72" s="1">
        <v>2273</v>
      </c>
      <c r="D72" s="1">
        <v>78</v>
      </c>
      <c r="E72" s="10" t="s">
        <v>78</v>
      </c>
      <c r="F72" s="10" t="s">
        <v>78</v>
      </c>
      <c r="G72" s="10" t="s">
        <v>78</v>
      </c>
      <c r="H72" s="1">
        <v>5455</v>
      </c>
      <c r="I72" s="1">
        <v>43</v>
      </c>
      <c r="J72" s="1">
        <v>5412</v>
      </c>
      <c r="K72" s="1">
        <v>1972</v>
      </c>
      <c r="L72" s="1">
        <v>3073</v>
      </c>
      <c r="M72" s="1">
        <v>4311</v>
      </c>
      <c r="N72" s="1">
        <v>322</v>
      </c>
      <c r="O72" s="7">
        <v>3989</v>
      </c>
      <c r="P72" s="7">
        <v>-1101</v>
      </c>
    </row>
    <row r="73" spans="1:16" x14ac:dyDescent="0.3">
      <c r="A73" s="10" t="s">
        <v>136</v>
      </c>
      <c r="B73" s="1">
        <v>2691</v>
      </c>
      <c r="C73" s="1">
        <v>2214</v>
      </c>
      <c r="D73" s="1">
        <v>129</v>
      </c>
      <c r="E73" s="10" t="s">
        <v>78</v>
      </c>
      <c r="F73" s="10" t="s">
        <v>78</v>
      </c>
      <c r="G73" s="10" t="s">
        <v>78</v>
      </c>
      <c r="H73" s="1">
        <v>5034</v>
      </c>
      <c r="I73" s="1">
        <v>69</v>
      </c>
      <c r="J73" s="1">
        <v>4965</v>
      </c>
      <c r="K73" s="1">
        <v>2179</v>
      </c>
      <c r="L73" s="1">
        <v>2701</v>
      </c>
      <c r="M73" s="1">
        <v>4443</v>
      </c>
      <c r="N73" s="1">
        <v>319</v>
      </c>
      <c r="O73" s="7">
        <v>4124</v>
      </c>
      <c r="P73" s="7">
        <v>-522</v>
      </c>
    </row>
    <row r="74" spans="1:16" x14ac:dyDescent="0.3">
      <c r="A74" s="10" t="s">
        <v>137</v>
      </c>
      <c r="B74" s="1">
        <v>2642</v>
      </c>
      <c r="C74" s="1">
        <v>2234</v>
      </c>
      <c r="D74" s="1">
        <v>122</v>
      </c>
      <c r="E74" s="10" t="s">
        <v>78</v>
      </c>
      <c r="F74" s="10" t="s">
        <v>78</v>
      </c>
      <c r="G74" s="10" t="s">
        <v>78</v>
      </c>
      <c r="H74" s="1">
        <v>4998</v>
      </c>
      <c r="I74" s="1">
        <v>32</v>
      </c>
      <c r="J74" s="1">
        <v>4966</v>
      </c>
      <c r="K74" s="1">
        <v>2475</v>
      </c>
      <c r="L74" s="1">
        <v>2719</v>
      </c>
      <c r="M74" s="1">
        <v>4722</v>
      </c>
      <c r="N74" s="1">
        <v>332</v>
      </c>
      <c r="O74" s="7">
        <v>4390</v>
      </c>
      <c r="P74" s="7">
        <v>-244</v>
      </c>
    </row>
    <row r="75" spans="1:16" x14ac:dyDescent="0.3">
      <c r="A75" s="10" t="s">
        <v>138</v>
      </c>
      <c r="B75" s="1">
        <v>2883</v>
      </c>
      <c r="C75" s="1">
        <v>2294</v>
      </c>
      <c r="D75" s="1">
        <v>140</v>
      </c>
      <c r="E75" s="10" t="s">
        <v>78</v>
      </c>
      <c r="F75" s="10" t="s">
        <v>78</v>
      </c>
      <c r="G75" s="10" t="s">
        <v>78</v>
      </c>
      <c r="H75" s="1">
        <v>5317</v>
      </c>
      <c r="I75" s="1">
        <v>28</v>
      </c>
      <c r="J75" s="1">
        <v>5289</v>
      </c>
      <c r="K75" s="1">
        <v>2811</v>
      </c>
      <c r="L75" s="1">
        <v>2942</v>
      </c>
      <c r="M75" s="1">
        <v>5158</v>
      </c>
      <c r="N75" s="1">
        <v>336</v>
      </c>
      <c r="O75" s="7">
        <v>4822</v>
      </c>
      <c r="P75" s="7">
        <v>-131</v>
      </c>
    </row>
    <row r="76" spans="1:16" x14ac:dyDescent="0.3">
      <c r="A76" s="10" t="s">
        <v>139</v>
      </c>
      <c r="B76" s="1">
        <v>2425</v>
      </c>
      <c r="C76" s="1">
        <v>2063</v>
      </c>
      <c r="D76" s="1">
        <v>138</v>
      </c>
      <c r="E76" s="10" t="s">
        <v>78</v>
      </c>
      <c r="F76" s="10" t="s">
        <v>78</v>
      </c>
      <c r="G76" s="10" t="s">
        <v>78</v>
      </c>
      <c r="H76" s="1">
        <v>4626</v>
      </c>
      <c r="I76" s="1">
        <v>25</v>
      </c>
      <c r="J76" s="1">
        <v>4601</v>
      </c>
      <c r="K76" s="1">
        <v>2516</v>
      </c>
      <c r="L76" s="1">
        <v>2738</v>
      </c>
      <c r="M76" s="1">
        <v>4379</v>
      </c>
      <c r="N76" s="1">
        <v>314</v>
      </c>
      <c r="O76" s="7">
        <v>4065</v>
      </c>
      <c r="P76" s="7">
        <v>-222</v>
      </c>
    </row>
    <row r="77" spans="1:16" x14ac:dyDescent="0.3">
      <c r="A77" s="10" t="s">
        <v>140</v>
      </c>
      <c r="B77" s="1">
        <v>2701</v>
      </c>
      <c r="C77" s="1">
        <v>2277</v>
      </c>
      <c r="D77" s="1">
        <v>137</v>
      </c>
      <c r="E77" s="10" t="s">
        <v>78</v>
      </c>
      <c r="F77" s="10" t="s">
        <v>78</v>
      </c>
      <c r="G77" s="10" t="s">
        <v>78</v>
      </c>
      <c r="H77" s="1">
        <v>5115</v>
      </c>
      <c r="I77" s="1">
        <v>31</v>
      </c>
      <c r="J77" s="1">
        <v>5084</v>
      </c>
      <c r="K77" s="1">
        <v>2782</v>
      </c>
      <c r="L77" s="1">
        <v>3052</v>
      </c>
      <c r="M77" s="1">
        <v>4814</v>
      </c>
      <c r="N77" s="1">
        <v>341</v>
      </c>
      <c r="O77" s="7">
        <v>4473</v>
      </c>
      <c r="P77" s="7">
        <v>-270</v>
      </c>
    </row>
    <row r="78" spans="1:16" x14ac:dyDescent="0.3">
      <c r="A78" s="10" t="s">
        <v>141</v>
      </c>
      <c r="B78" s="1">
        <v>2472</v>
      </c>
      <c r="C78" s="1">
        <v>1938</v>
      </c>
      <c r="D78" s="1">
        <v>78</v>
      </c>
      <c r="E78" s="10" t="s">
        <v>78</v>
      </c>
      <c r="F78" s="10" t="s">
        <v>78</v>
      </c>
      <c r="G78" s="10" t="s">
        <v>78</v>
      </c>
      <c r="H78" s="1">
        <v>4488</v>
      </c>
      <c r="I78" s="1">
        <v>87</v>
      </c>
      <c r="J78" s="1">
        <v>4401</v>
      </c>
      <c r="K78" s="1">
        <v>2330</v>
      </c>
      <c r="L78" s="1">
        <v>2686</v>
      </c>
      <c r="M78" s="1">
        <v>4045</v>
      </c>
      <c r="N78" s="1">
        <v>312</v>
      </c>
      <c r="O78" s="7">
        <v>3733</v>
      </c>
      <c r="P78" s="7">
        <v>-356</v>
      </c>
    </row>
    <row r="79" spans="1:16" x14ac:dyDescent="0.3">
      <c r="A79" s="10" t="s">
        <v>142</v>
      </c>
      <c r="B79" s="1">
        <v>3477</v>
      </c>
      <c r="C79" s="1">
        <v>1945</v>
      </c>
      <c r="D79" s="1">
        <v>75</v>
      </c>
      <c r="E79" s="10" t="s">
        <v>78</v>
      </c>
      <c r="F79" s="10" t="s">
        <v>78</v>
      </c>
      <c r="G79" s="10" t="s">
        <v>78</v>
      </c>
      <c r="H79" s="1">
        <v>5497</v>
      </c>
      <c r="I79" s="1">
        <v>140</v>
      </c>
      <c r="J79" s="1">
        <v>5357</v>
      </c>
      <c r="K79" s="1">
        <v>1856</v>
      </c>
      <c r="L79" s="1">
        <v>3212</v>
      </c>
      <c r="M79" s="1">
        <v>4001</v>
      </c>
      <c r="N79" s="1">
        <v>285</v>
      </c>
      <c r="O79" s="7">
        <v>3716</v>
      </c>
      <c r="P79" s="7">
        <v>-1356</v>
      </c>
    </row>
    <row r="80" spans="1:16" x14ac:dyDescent="0.3">
      <c r="A80" s="10" t="s">
        <v>143</v>
      </c>
      <c r="B80" s="1">
        <v>3761</v>
      </c>
      <c r="C80" s="1">
        <v>1528</v>
      </c>
      <c r="D80" s="1">
        <v>66</v>
      </c>
      <c r="E80" s="10" t="s">
        <v>78</v>
      </c>
      <c r="F80" s="10" t="s">
        <v>78</v>
      </c>
      <c r="G80" s="10" t="s">
        <v>78</v>
      </c>
      <c r="H80" s="1">
        <v>5355</v>
      </c>
      <c r="I80" s="1">
        <v>194</v>
      </c>
      <c r="J80" s="1">
        <v>5161</v>
      </c>
      <c r="K80" s="1">
        <v>1699</v>
      </c>
      <c r="L80" s="1">
        <v>2978</v>
      </c>
      <c r="M80" s="1">
        <v>3882</v>
      </c>
      <c r="N80" s="1">
        <v>266</v>
      </c>
      <c r="O80" s="7">
        <v>3616</v>
      </c>
      <c r="P80" s="7">
        <v>-1279</v>
      </c>
    </row>
    <row r="81" spans="1:16" x14ac:dyDescent="0.3">
      <c r="A81" s="10" t="s">
        <v>144</v>
      </c>
      <c r="B81" s="1">
        <v>4223</v>
      </c>
      <c r="C81" s="1">
        <v>1539</v>
      </c>
      <c r="D81" s="1">
        <v>72</v>
      </c>
      <c r="E81" s="10" t="s">
        <v>78</v>
      </c>
      <c r="F81" s="10" t="s">
        <v>78</v>
      </c>
      <c r="G81" s="10" t="s">
        <v>78</v>
      </c>
      <c r="H81" s="1">
        <v>5834</v>
      </c>
      <c r="I81" s="1">
        <v>373</v>
      </c>
      <c r="J81" s="1">
        <v>5461</v>
      </c>
      <c r="K81" s="1">
        <v>1765</v>
      </c>
      <c r="L81" s="1">
        <v>3516</v>
      </c>
      <c r="M81" s="1">
        <v>3710</v>
      </c>
      <c r="N81" s="1">
        <v>284</v>
      </c>
      <c r="O81" s="7">
        <v>3426</v>
      </c>
      <c r="P81" s="7">
        <v>-1751</v>
      </c>
    </row>
    <row r="82" spans="1:16" x14ac:dyDescent="0.3">
      <c r="A82" s="10" t="s">
        <v>145</v>
      </c>
      <c r="B82" s="1">
        <v>3541</v>
      </c>
      <c r="C82" s="1">
        <v>1250</v>
      </c>
      <c r="D82" s="1">
        <v>74</v>
      </c>
      <c r="E82" s="10" t="s">
        <v>78</v>
      </c>
      <c r="F82" s="10" t="s">
        <v>78</v>
      </c>
      <c r="G82" s="10" t="s">
        <v>78</v>
      </c>
      <c r="H82" s="1">
        <v>4865</v>
      </c>
      <c r="I82" s="1">
        <v>246</v>
      </c>
      <c r="J82" s="1">
        <v>4619</v>
      </c>
      <c r="K82" s="1">
        <v>1787</v>
      </c>
      <c r="L82" s="1">
        <v>2650</v>
      </c>
      <c r="M82" s="1">
        <v>3756</v>
      </c>
      <c r="N82" s="1">
        <v>279</v>
      </c>
      <c r="O82" s="7">
        <v>3477</v>
      </c>
      <c r="P82" s="7">
        <v>-863</v>
      </c>
    </row>
    <row r="83" spans="1:16" x14ac:dyDescent="0.3">
      <c r="A83" s="10" t="s">
        <v>146</v>
      </c>
      <c r="B83" s="1">
        <v>3026</v>
      </c>
      <c r="C83" s="1">
        <v>1881</v>
      </c>
      <c r="D83" s="1">
        <v>81</v>
      </c>
      <c r="E83" s="10" t="s">
        <v>78</v>
      </c>
      <c r="F83" s="10" t="s">
        <v>78</v>
      </c>
      <c r="G83" s="10" t="s">
        <v>78</v>
      </c>
      <c r="H83" s="1">
        <v>4988</v>
      </c>
      <c r="I83" s="1">
        <v>138</v>
      </c>
      <c r="J83" s="1">
        <v>4850</v>
      </c>
      <c r="K83" s="1">
        <v>2290</v>
      </c>
      <c r="L83" s="1">
        <v>3110</v>
      </c>
      <c r="M83" s="1">
        <v>4030</v>
      </c>
      <c r="N83" s="1">
        <v>285</v>
      </c>
      <c r="O83" s="7">
        <v>3745</v>
      </c>
      <c r="P83" s="7">
        <v>-820</v>
      </c>
    </row>
    <row r="84" spans="1:16" x14ac:dyDescent="0.3">
      <c r="A84" s="10" t="s">
        <v>147</v>
      </c>
      <c r="B84" s="1">
        <v>2353</v>
      </c>
      <c r="C84" s="1">
        <v>2259</v>
      </c>
      <c r="D84" s="1">
        <v>106</v>
      </c>
      <c r="E84" s="10" t="s">
        <v>78</v>
      </c>
      <c r="F84" s="10" t="s">
        <v>78</v>
      </c>
      <c r="G84" s="10" t="s">
        <v>78</v>
      </c>
      <c r="H84" s="1">
        <v>4718</v>
      </c>
      <c r="I84" s="1">
        <v>114</v>
      </c>
      <c r="J84" s="1">
        <v>4604</v>
      </c>
      <c r="K84" s="1">
        <v>2699</v>
      </c>
      <c r="L84" s="1">
        <v>3104</v>
      </c>
      <c r="M84" s="1">
        <v>4199</v>
      </c>
      <c r="N84" s="1">
        <v>314</v>
      </c>
      <c r="O84" s="7">
        <v>3885</v>
      </c>
      <c r="P84" s="7">
        <v>-405</v>
      </c>
    </row>
    <row r="85" spans="1:16" x14ac:dyDescent="0.3">
      <c r="A85" s="10" t="s">
        <v>148</v>
      </c>
      <c r="B85" s="1">
        <v>2371</v>
      </c>
      <c r="C85" s="1">
        <v>2223</v>
      </c>
      <c r="D85" s="1">
        <v>138</v>
      </c>
      <c r="E85" s="10" t="s">
        <v>78</v>
      </c>
      <c r="F85" s="10" t="s">
        <v>78</v>
      </c>
      <c r="G85" s="10" t="s">
        <v>78</v>
      </c>
      <c r="H85" s="1">
        <v>4732</v>
      </c>
      <c r="I85" s="1">
        <v>53</v>
      </c>
      <c r="J85" s="1">
        <v>4679</v>
      </c>
      <c r="K85" s="1">
        <v>3052</v>
      </c>
      <c r="L85" s="1">
        <v>3049</v>
      </c>
      <c r="M85" s="1">
        <v>4682</v>
      </c>
      <c r="N85" s="1">
        <v>330</v>
      </c>
      <c r="O85" s="7">
        <v>4352</v>
      </c>
      <c r="P85" s="7">
        <v>3</v>
      </c>
    </row>
    <row r="86" spans="1:16" x14ac:dyDescent="0.3">
      <c r="A86" s="10" t="s">
        <v>149</v>
      </c>
      <c r="B86" s="1">
        <v>2364</v>
      </c>
      <c r="C86" s="1">
        <v>2289</v>
      </c>
      <c r="D86" s="1">
        <v>170</v>
      </c>
      <c r="E86" s="10" t="s">
        <v>78</v>
      </c>
      <c r="F86" s="10" t="s">
        <v>78</v>
      </c>
      <c r="G86" s="10" t="s">
        <v>78</v>
      </c>
      <c r="H86" s="1">
        <v>4823</v>
      </c>
      <c r="I86" s="1">
        <v>91</v>
      </c>
      <c r="J86" s="1">
        <v>4732</v>
      </c>
      <c r="K86" s="1">
        <v>3361</v>
      </c>
      <c r="L86" s="1">
        <v>3182</v>
      </c>
      <c r="M86" s="1">
        <v>4911</v>
      </c>
      <c r="N86" s="1">
        <v>339</v>
      </c>
      <c r="O86" s="7">
        <v>4572</v>
      </c>
      <c r="P86" s="7">
        <v>179</v>
      </c>
    </row>
    <row r="87" spans="1:16" x14ac:dyDescent="0.3">
      <c r="A87" s="10" t="s">
        <v>150</v>
      </c>
      <c r="B87" s="1">
        <v>2231</v>
      </c>
      <c r="C87" s="1">
        <v>2295</v>
      </c>
      <c r="D87" s="1">
        <v>193</v>
      </c>
      <c r="E87" s="10" t="s">
        <v>78</v>
      </c>
      <c r="F87" s="10" t="s">
        <v>78</v>
      </c>
      <c r="G87" s="10" t="s">
        <v>78</v>
      </c>
      <c r="H87" s="1">
        <v>4719</v>
      </c>
      <c r="I87" s="1">
        <v>56</v>
      </c>
      <c r="J87" s="1">
        <v>4663</v>
      </c>
      <c r="K87" s="1">
        <v>3162</v>
      </c>
      <c r="L87" s="1">
        <v>2750</v>
      </c>
      <c r="M87" s="1">
        <v>5075</v>
      </c>
      <c r="N87" s="1">
        <v>331</v>
      </c>
      <c r="O87" s="7">
        <v>4744</v>
      </c>
      <c r="P87" s="7">
        <v>412</v>
      </c>
    </row>
    <row r="88" spans="1:16" x14ac:dyDescent="0.3">
      <c r="A88" s="10" t="s">
        <v>151</v>
      </c>
      <c r="B88" s="1">
        <v>2424</v>
      </c>
      <c r="C88" s="1">
        <v>2149</v>
      </c>
      <c r="D88" s="1">
        <v>214</v>
      </c>
      <c r="E88" s="10" t="s">
        <v>78</v>
      </c>
      <c r="F88" s="10" t="s">
        <v>78</v>
      </c>
      <c r="G88" s="10" t="s">
        <v>78</v>
      </c>
      <c r="H88" s="1">
        <v>4787</v>
      </c>
      <c r="I88" s="1">
        <v>28</v>
      </c>
      <c r="J88" s="1">
        <v>4759</v>
      </c>
      <c r="K88" s="1">
        <v>3069</v>
      </c>
      <c r="L88" s="1">
        <v>2900</v>
      </c>
      <c r="M88" s="1">
        <v>4928</v>
      </c>
      <c r="N88" s="1">
        <v>349</v>
      </c>
      <c r="O88" s="7">
        <v>4579</v>
      </c>
      <c r="P88" s="7">
        <v>169</v>
      </c>
    </row>
    <row r="89" spans="1:16" x14ac:dyDescent="0.3">
      <c r="A89" s="10" t="s">
        <v>152</v>
      </c>
      <c r="B89" s="1">
        <v>1763</v>
      </c>
      <c r="C89" s="1">
        <v>2270</v>
      </c>
      <c r="D89" s="1">
        <v>148</v>
      </c>
      <c r="E89" s="10" t="s">
        <v>78</v>
      </c>
      <c r="F89" s="10" t="s">
        <v>78</v>
      </c>
      <c r="G89" s="10" t="s">
        <v>78</v>
      </c>
      <c r="H89" s="1">
        <v>4181</v>
      </c>
      <c r="I89" s="1">
        <v>85</v>
      </c>
      <c r="J89" s="1">
        <v>4096</v>
      </c>
      <c r="K89" s="1">
        <v>3413</v>
      </c>
      <c r="L89" s="1">
        <v>2745</v>
      </c>
      <c r="M89" s="1">
        <v>4764</v>
      </c>
      <c r="N89" s="1">
        <v>336</v>
      </c>
      <c r="O89" s="7">
        <v>4428</v>
      </c>
      <c r="P89" s="7">
        <v>668</v>
      </c>
    </row>
    <row r="90" spans="1:16" x14ac:dyDescent="0.3">
      <c r="A90" s="10" t="s">
        <v>153</v>
      </c>
      <c r="B90" s="1">
        <v>1704</v>
      </c>
      <c r="C90" s="1">
        <v>2201</v>
      </c>
      <c r="D90" s="1">
        <v>124</v>
      </c>
      <c r="E90" s="10" t="s">
        <v>78</v>
      </c>
      <c r="F90" s="10" t="s">
        <v>78</v>
      </c>
      <c r="G90" s="10" t="s">
        <v>78</v>
      </c>
      <c r="H90" s="1">
        <v>4029</v>
      </c>
      <c r="I90" s="1">
        <v>87</v>
      </c>
      <c r="J90" s="1">
        <v>3942</v>
      </c>
      <c r="K90" s="1">
        <v>2788</v>
      </c>
      <c r="L90" s="1">
        <v>2621</v>
      </c>
      <c r="M90" s="1">
        <v>4109</v>
      </c>
      <c r="N90" s="1">
        <v>318</v>
      </c>
      <c r="O90" s="7">
        <v>3791</v>
      </c>
      <c r="P90" s="7">
        <v>167</v>
      </c>
    </row>
    <row r="91" spans="1:16" x14ac:dyDescent="0.3">
      <c r="A91" s="10" t="s">
        <v>154</v>
      </c>
      <c r="B91" s="1">
        <v>2681</v>
      </c>
      <c r="C91" s="1">
        <v>2213</v>
      </c>
      <c r="D91" s="1">
        <v>117</v>
      </c>
      <c r="E91" s="10" t="s">
        <v>78</v>
      </c>
      <c r="F91" s="10" t="s">
        <v>78</v>
      </c>
      <c r="G91" s="10" t="s">
        <v>78</v>
      </c>
      <c r="H91" s="1">
        <v>5011</v>
      </c>
      <c r="I91" s="1">
        <v>198</v>
      </c>
      <c r="J91" s="1">
        <v>4813</v>
      </c>
      <c r="K91" s="1">
        <v>2324</v>
      </c>
      <c r="L91" s="1">
        <v>3173</v>
      </c>
      <c r="M91" s="1">
        <v>3964</v>
      </c>
      <c r="N91" s="1">
        <v>282</v>
      </c>
      <c r="O91" s="7">
        <v>3682</v>
      </c>
      <c r="P91" s="7">
        <v>-849</v>
      </c>
    </row>
    <row r="92" spans="1:16" x14ac:dyDescent="0.3">
      <c r="A92" s="10" t="s">
        <v>155</v>
      </c>
      <c r="B92" s="1">
        <v>3354</v>
      </c>
      <c r="C92" s="1">
        <v>1484</v>
      </c>
      <c r="D92" s="1">
        <v>99</v>
      </c>
      <c r="E92" s="10" t="s">
        <v>78</v>
      </c>
      <c r="F92" s="10" t="s">
        <v>78</v>
      </c>
      <c r="G92" s="10" t="s">
        <v>78</v>
      </c>
      <c r="H92" s="1">
        <v>4937</v>
      </c>
      <c r="I92" s="1">
        <v>221</v>
      </c>
      <c r="J92" s="1">
        <v>4716</v>
      </c>
      <c r="K92" s="1">
        <v>2286</v>
      </c>
      <c r="L92" s="1">
        <v>3232</v>
      </c>
      <c r="M92" s="1">
        <v>3770</v>
      </c>
      <c r="N92" s="1">
        <v>254</v>
      </c>
      <c r="O92" s="7">
        <v>3516</v>
      </c>
      <c r="P92" s="7">
        <v>-946</v>
      </c>
    </row>
    <row r="93" spans="1:16" x14ac:dyDescent="0.3">
      <c r="A93" s="10" t="s">
        <v>156</v>
      </c>
      <c r="B93" s="1">
        <v>3297</v>
      </c>
      <c r="C93" s="1">
        <v>1538</v>
      </c>
      <c r="D93" s="1">
        <v>92</v>
      </c>
      <c r="E93" s="10" t="s">
        <v>78</v>
      </c>
      <c r="F93" s="10" t="s">
        <v>78</v>
      </c>
      <c r="G93" s="10" t="s">
        <v>78</v>
      </c>
      <c r="H93" s="1">
        <v>4927</v>
      </c>
      <c r="I93" s="1">
        <v>327</v>
      </c>
      <c r="J93" s="1">
        <v>4600</v>
      </c>
      <c r="K93" s="1">
        <v>2263</v>
      </c>
      <c r="L93" s="1">
        <v>3125</v>
      </c>
      <c r="M93" s="1">
        <v>3738</v>
      </c>
      <c r="N93" s="1">
        <v>286</v>
      </c>
      <c r="O93" s="7">
        <v>3452</v>
      </c>
      <c r="P93" s="7">
        <v>-862</v>
      </c>
    </row>
    <row r="94" spans="1:16" x14ac:dyDescent="0.3">
      <c r="A94" s="10" t="s">
        <v>157</v>
      </c>
      <c r="B94" s="1">
        <v>2910</v>
      </c>
      <c r="C94" s="1">
        <v>1144</v>
      </c>
      <c r="D94" s="1">
        <v>89</v>
      </c>
      <c r="E94" s="10" t="s">
        <v>78</v>
      </c>
      <c r="F94" s="10" t="s">
        <v>78</v>
      </c>
      <c r="G94" s="10" t="s">
        <v>78</v>
      </c>
      <c r="H94" s="1">
        <v>4143</v>
      </c>
      <c r="I94" s="1">
        <v>315</v>
      </c>
      <c r="J94" s="1">
        <v>3828</v>
      </c>
      <c r="K94" s="1">
        <v>2184</v>
      </c>
      <c r="L94" s="1">
        <v>2279</v>
      </c>
      <c r="M94" s="1">
        <v>3733</v>
      </c>
      <c r="N94" s="1">
        <v>276</v>
      </c>
      <c r="O94" s="7">
        <v>3457</v>
      </c>
      <c r="P94" s="7">
        <v>-95</v>
      </c>
    </row>
    <row r="95" spans="1:16" x14ac:dyDescent="0.3">
      <c r="A95" s="10" t="s">
        <v>158</v>
      </c>
      <c r="B95" s="1">
        <v>2170</v>
      </c>
      <c r="C95" s="1">
        <v>1898</v>
      </c>
      <c r="D95" s="1">
        <v>121</v>
      </c>
      <c r="E95" s="10" t="s">
        <v>78</v>
      </c>
      <c r="F95" s="10" t="s">
        <v>78</v>
      </c>
      <c r="G95" s="10" t="s">
        <v>78</v>
      </c>
      <c r="H95" s="1">
        <v>4189</v>
      </c>
      <c r="I95" s="1">
        <v>131</v>
      </c>
      <c r="J95" s="1">
        <v>4058</v>
      </c>
      <c r="K95" s="1">
        <v>2815</v>
      </c>
      <c r="L95" s="1">
        <v>2725</v>
      </c>
      <c r="M95" s="1">
        <v>4148</v>
      </c>
      <c r="N95" s="1">
        <v>292</v>
      </c>
      <c r="O95" s="7">
        <v>3856</v>
      </c>
      <c r="P95" s="7">
        <v>90</v>
      </c>
    </row>
    <row r="96" spans="1:16" x14ac:dyDescent="0.3">
      <c r="A96" s="10" t="s">
        <v>159</v>
      </c>
      <c r="B96" s="1">
        <v>2128</v>
      </c>
      <c r="C96" s="1">
        <v>2044</v>
      </c>
      <c r="D96" s="1">
        <v>143</v>
      </c>
      <c r="E96" s="10" t="s">
        <v>78</v>
      </c>
      <c r="F96" s="10" t="s">
        <v>78</v>
      </c>
      <c r="G96" s="10" t="s">
        <v>78</v>
      </c>
      <c r="H96" s="1">
        <v>4315</v>
      </c>
      <c r="I96" s="1">
        <v>113</v>
      </c>
      <c r="J96" s="1">
        <v>4202</v>
      </c>
      <c r="K96" s="1">
        <v>3090</v>
      </c>
      <c r="L96" s="1">
        <v>2881</v>
      </c>
      <c r="M96" s="1">
        <v>4411</v>
      </c>
      <c r="N96" s="1">
        <v>326</v>
      </c>
      <c r="O96" s="7">
        <v>4085</v>
      </c>
      <c r="P96" s="7">
        <v>209</v>
      </c>
    </row>
    <row r="97" spans="1:16" x14ac:dyDescent="0.3">
      <c r="A97" s="10" t="s">
        <v>160</v>
      </c>
      <c r="B97" s="1">
        <v>2619</v>
      </c>
      <c r="C97" s="1">
        <v>2206</v>
      </c>
      <c r="D97" s="1">
        <v>173</v>
      </c>
      <c r="E97" s="10" t="s">
        <v>78</v>
      </c>
      <c r="F97" s="10" t="s">
        <v>78</v>
      </c>
      <c r="G97" s="10" t="s">
        <v>78</v>
      </c>
      <c r="H97" s="1">
        <v>4998</v>
      </c>
      <c r="I97" s="1">
        <v>125</v>
      </c>
      <c r="J97" s="1">
        <v>4873</v>
      </c>
      <c r="K97" s="1">
        <v>2890</v>
      </c>
      <c r="L97" s="1">
        <v>2913</v>
      </c>
      <c r="M97" s="1">
        <v>4850</v>
      </c>
      <c r="N97" s="1">
        <v>337</v>
      </c>
      <c r="O97" s="7">
        <v>4513</v>
      </c>
      <c r="P97" s="7">
        <v>-23</v>
      </c>
    </row>
    <row r="98" spans="1:16" x14ac:dyDescent="0.3">
      <c r="A98" s="10" t="s">
        <v>161</v>
      </c>
      <c r="B98" s="1">
        <v>2417</v>
      </c>
      <c r="C98" s="1">
        <v>2277</v>
      </c>
      <c r="D98" s="1">
        <v>190</v>
      </c>
      <c r="E98" s="10" t="s">
        <v>78</v>
      </c>
      <c r="F98" s="10" t="s">
        <v>78</v>
      </c>
      <c r="G98" s="10" t="s">
        <v>78</v>
      </c>
      <c r="H98" s="1">
        <v>4884</v>
      </c>
      <c r="I98" s="1">
        <v>68</v>
      </c>
      <c r="J98" s="1">
        <v>4816</v>
      </c>
      <c r="K98" s="1">
        <v>3201</v>
      </c>
      <c r="L98" s="1">
        <v>3087</v>
      </c>
      <c r="M98" s="1">
        <v>4930</v>
      </c>
      <c r="N98" s="1">
        <v>341</v>
      </c>
      <c r="O98" s="7">
        <v>4589</v>
      </c>
      <c r="P98" s="7">
        <v>114</v>
      </c>
    </row>
    <row r="99" spans="1:16" x14ac:dyDescent="0.3">
      <c r="A99" s="10" t="s">
        <v>162</v>
      </c>
      <c r="B99" s="1">
        <v>2826</v>
      </c>
      <c r="C99" s="1">
        <v>2287</v>
      </c>
      <c r="D99" s="1">
        <v>191</v>
      </c>
      <c r="E99" s="10" t="s">
        <v>78</v>
      </c>
      <c r="F99" s="10" t="s">
        <v>78</v>
      </c>
      <c r="G99" s="10" t="s">
        <v>78</v>
      </c>
      <c r="H99" s="1">
        <v>5304</v>
      </c>
      <c r="I99" s="1">
        <v>23</v>
      </c>
      <c r="J99" s="1">
        <v>5281</v>
      </c>
      <c r="K99" s="1">
        <v>3145</v>
      </c>
      <c r="L99" s="1">
        <v>3201</v>
      </c>
      <c r="M99" s="1">
        <v>5225</v>
      </c>
      <c r="N99" s="1">
        <v>337</v>
      </c>
      <c r="O99" s="7">
        <v>4888</v>
      </c>
      <c r="P99" s="7">
        <v>-56</v>
      </c>
    </row>
    <row r="100" spans="1:16" x14ac:dyDescent="0.3">
      <c r="A100" s="10" t="s">
        <v>163</v>
      </c>
      <c r="B100" s="1">
        <v>2115</v>
      </c>
      <c r="C100" s="1">
        <v>2063</v>
      </c>
      <c r="D100" s="1">
        <v>194</v>
      </c>
      <c r="E100" s="10" t="s">
        <v>78</v>
      </c>
      <c r="F100" s="10" t="s">
        <v>78</v>
      </c>
      <c r="G100" s="10" t="s">
        <v>78</v>
      </c>
      <c r="H100" s="1">
        <v>4372</v>
      </c>
      <c r="I100" s="1">
        <v>32</v>
      </c>
      <c r="J100" s="1">
        <v>4340</v>
      </c>
      <c r="K100" s="1">
        <v>2899</v>
      </c>
      <c r="L100" s="1">
        <v>2706</v>
      </c>
      <c r="M100" s="1">
        <v>4533</v>
      </c>
      <c r="N100" s="1">
        <v>326</v>
      </c>
      <c r="O100" s="7">
        <v>4207</v>
      </c>
      <c r="P100" s="7">
        <v>193</v>
      </c>
    </row>
    <row r="101" spans="1:16" x14ac:dyDescent="0.3">
      <c r="A101" s="10" t="s">
        <v>164</v>
      </c>
      <c r="B101" s="1">
        <v>2253</v>
      </c>
      <c r="C101" s="1">
        <v>2267</v>
      </c>
      <c r="D101" s="1">
        <v>185</v>
      </c>
      <c r="E101" s="10" t="s">
        <v>78</v>
      </c>
      <c r="F101" s="10" t="s">
        <v>78</v>
      </c>
      <c r="G101" s="10" t="s">
        <v>78</v>
      </c>
      <c r="H101" s="1">
        <v>4705</v>
      </c>
      <c r="I101" s="1">
        <v>49</v>
      </c>
      <c r="J101" s="1">
        <v>4656</v>
      </c>
      <c r="K101" s="1">
        <v>2764</v>
      </c>
      <c r="L101" s="1">
        <v>2899</v>
      </c>
      <c r="M101" s="1">
        <v>4521</v>
      </c>
      <c r="N101" s="1">
        <v>319</v>
      </c>
      <c r="O101" s="7">
        <v>4202</v>
      </c>
      <c r="P101" s="7">
        <v>-135</v>
      </c>
    </row>
    <row r="102" spans="1:16" x14ac:dyDescent="0.3">
      <c r="A102" s="10" t="s">
        <v>165</v>
      </c>
      <c r="B102" s="1">
        <v>2271</v>
      </c>
      <c r="C102" s="1">
        <v>2183</v>
      </c>
      <c r="D102" s="1">
        <v>131</v>
      </c>
      <c r="E102" s="10" t="s">
        <v>78</v>
      </c>
      <c r="F102" s="10" t="s">
        <v>78</v>
      </c>
      <c r="G102" s="10" t="s">
        <v>78</v>
      </c>
      <c r="H102" s="1">
        <v>4585</v>
      </c>
      <c r="I102" s="1">
        <v>42</v>
      </c>
      <c r="J102" s="1">
        <v>4543</v>
      </c>
      <c r="K102" s="1">
        <v>2380</v>
      </c>
      <c r="L102" s="1">
        <v>2688</v>
      </c>
      <c r="M102" s="1">
        <v>4235</v>
      </c>
      <c r="N102" s="1">
        <v>327</v>
      </c>
      <c r="O102" s="7">
        <v>3908</v>
      </c>
      <c r="P102" s="7">
        <v>-308</v>
      </c>
    </row>
    <row r="103" spans="1:16" x14ac:dyDescent="0.3">
      <c r="A103" s="10" t="s">
        <v>166</v>
      </c>
      <c r="B103" s="1">
        <v>2890</v>
      </c>
      <c r="C103" s="1">
        <v>2174</v>
      </c>
      <c r="D103" s="1">
        <v>116</v>
      </c>
      <c r="E103" s="10" t="s">
        <v>78</v>
      </c>
      <c r="F103" s="10" t="s">
        <v>78</v>
      </c>
      <c r="G103" s="10" t="s">
        <v>78</v>
      </c>
      <c r="H103" s="1">
        <v>5180</v>
      </c>
      <c r="I103" s="1">
        <v>195</v>
      </c>
      <c r="J103" s="1">
        <v>4985</v>
      </c>
      <c r="K103" s="1">
        <v>2160</v>
      </c>
      <c r="L103" s="1">
        <v>3161</v>
      </c>
      <c r="M103" s="1">
        <v>3984</v>
      </c>
      <c r="N103" s="1">
        <v>284</v>
      </c>
      <c r="O103" s="7">
        <v>3700</v>
      </c>
      <c r="P103" s="7">
        <v>-1001</v>
      </c>
    </row>
    <row r="104" spans="1:16" x14ac:dyDescent="0.3">
      <c r="A104" s="10" t="s">
        <v>167</v>
      </c>
      <c r="B104" s="1">
        <v>3771</v>
      </c>
      <c r="C104" s="1">
        <v>1521</v>
      </c>
      <c r="D104" s="1">
        <v>114</v>
      </c>
      <c r="E104" s="10" t="s">
        <v>78</v>
      </c>
      <c r="F104" s="10" t="s">
        <v>78</v>
      </c>
      <c r="G104" s="10" t="s">
        <v>78</v>
      </c>
      <c r="H104" s="1">
        <v>5406</v>
      </c>
      <c r="I104" s="1">
        <v>278</v>
      </c>
      <c r="J104" s="1">
        <v>5128</v>
      </c>
      <c r="K104" s="1">
        <v>2044</v>
      </c>
      <c r="L104" s="1">
        <v>3318</v>
      </c>
      <c r="M104" s="1">
        <v>3854</v>
      </c>
      <c r="N104" s="1">
        <v>261</v>
      </c>
      <c r="O104" s="7">
        <v>3593</v>
      </c>
      <c r="P104" s="7">
        <v>-1274</v>
      </c>
    </row>
    <row r="105" spans="1:16" x14ac:dyDescent="0.3">
      <c r="A105" s="10" t="s">
        <v>168</v>
      </c>
      <c r="B105" s="1">
        <v>4034</v>
      </c>
      <c r="C105" s="1">
        <v>1835</v>
      </c>
      <c r="D105" s="1">
        <v>120</v>
      </c>
      <c r="E105" s="10" t="s">
        <v>78</v>
      </c>
      <c r="F105" s="10" t="s">
        <v>78</v>
      </c>
      <c r="G105" s="10" t="s">
        <v>78</v>
      </c>
      <c r="H105" s="1">
        <v>5989</v>
      </c>
      <c r="I105" s="1">
        <v>284</v>
      </c>
      <c r="J105" s="1">
        <v>5705</v>
      </c>
      <c r="K105" s="1">
        <v>1866</v>
      </c>
      <c r="L105" s="1">
        <v>3761</v>
      </c>
      <c r="M105" s="1">
        <v>3810</v>
      </c>
      <c r="N105" s="1">
        <v>289</v>
      </c>
      <c r="O105" s="7">
        <v>3521</v>
      </c>
      <c r="P105" s="7">
        <v>-1895</v>
      </c>
    </row>
    <row r="106" spans="1:16" x14ac:dyDescent="0.3">
      <c r="A106" s="10" t="s">
        <v>169</v>
      </c>
      <c r="B106" s="1">
        <v>3786</v>
      </c>
      <c r="C106" s="1">
        <v>1196</v>
      </c>
      <c r="D106" s="1">
        <v>112</v>
      </c>
      <c r="E106" s="10" t="s">
        <v>78</v>
      </c>
      <c r="F106" s="10" t="s">
        <v>78</v>
      </c>
      <c r="G106" s="10" t="s">
        <v>78</v>
      </c>
      <c r="H106" s="1">
        <v>5094</v>
      </c>
      <c r="I106" s="1">
        <v>242</v>
      </c>
      <c r="J106" s="1">
        <v>4852</v>
      </c>
      <c r="K106" s="1">
        <v>1739</v>
      </c>
      <c r="L106" s="1">
        <v>2776</v>
      </c>
      <c r="M106" s="1">
        <v>3815</v>
      </c>
      <c r="N106" s="1">
        <v>280</v>
      </c>
      <c r="O106" s="7">
        <v>3535</v>
      </c>
      <c r="P106" s="7">
        <v>-1037</v>
      </c>
    </row>
    <row r="107" spans="1:16" x14ac:dyDescent="0.3">
      <c r="A107" s="10" t="s">
        <v>170</v>
      </c>
      <c r="B107" s="1">
        <v>3356</v>
      </c>
      <c r="C107" s="1">
        <v>1976</v>
      </c>
      <c r="D107" s="1">
        <v>136</v>
      </c>
      <c r="E107" s="10" t="s">
        <v>78</v>
      </c>
      <c r="F107" s="10" t="s">
        <v>78</v>
      </c>
      <c r="G107" s="10" t="s">
        <v>78</v>
      </c>
      <c r="H107" s="1">
        <v>5468</v>
      </c>
      <c r="I107" s="1">
        <v>191</v>
      </c>
      <c r="J107" s="1">
        <v>5277</v>
      </c>
      <c r="K107" s="1">
        <v>2015</v>
      </c>
      <c r="L107" s="1">
        <v>3252</v>
      </c>
      <c r="M107" s="1">
        <v>4040</v>
      </c>
      <c r="N107" s="1">
        <v>285</v>
      </c>
      <c r="O107" s="7">
        <v>3755</v>
      </c>
      <c r="P107" s="7">
        <v>-1237</v>
      </c>
    </row>
    <row r="108" spans="1:16" x14ac:dyDescent="0.3">
      <c r="A108" s="10" t="s">
        <v>171</v>
      </c>
      <c r="B108" s="1">
        <v>2813</v>
      </c>
      <c r="C108" s="1">
        <v>1994</v>
      </c>
      <c r="D108" s="1">
        <v>159</v>
      </c>
      <c r="E108" s="10" t="s">
        <v>78</v>
      </c>
      <c r="F108" s="10" t="s">
        <v>78</v>
      </c>
      <c r="G108" s="10" t="s">
        <v>78</v>
      </c>
      <c r="H108" s="1">
        <v>4966</v>
      </c>
      <c r="I108" s="1">
        <v>72</v>
      </c>
      <c r="J108" s="1">
        <v>4894</v>
      </c>
      <c r="K108" s="1">
        <v>2899</v>
      </c>
      <c r="L108" s="1">
        <v>3278</v>
      </c>
      <c r="M108" s="1">
        <v>4515</v>
      </c>
      <c r="N108" s="1">
        <v>330</v>
      </c>
      <c r="O108" s="7">
        <v>4185</v>
      </c>
      <c r="P108" s="7">
        <v>-379</v>
      </c>
    </row>
    <row r="109" spans="1:16" x14ac:dyDescent="0.3">
      <c r="A109" s="10" t="s">
        <v>172</v>
      </c>
      <c r="B109" s="1">
        <v>2334</v>
      </c>
      <c r="C109" s="1">
        <v>2194</v>
      </c>
      <c r="D109" s="1">
        <v>196</v>
      </c>
      <c r="E109" s="10" t="s">
        <v>78</v>
      </c>
      <c r="F109" s="10" t="s">
        <v>78</v>
      </c>
      <c r="G109" s="10" t="s">
        <v>78</v>
      </c>
      <c r="H109" s="1">
        <v>4724</v>
      </c>
      <c r="I109" s="1">
        <v>50</v>
      </c>
      <c r="J109" s="1">
        <v>4674</v>
      </c>
      <c r="K109" s="1">
        <v>3188</v>
      </c>
      <c r="L109" s="1">
        <v>3071</v>
      </c>
      <c r="M109" s="1">
        <v>4791</v>
      </c>
      <c r="N109" s="1">
        <v>333</v>
      </c>
      <c r="O109" s="7">
        <v>4458</v>
      </c>
      <c r="P109" s="7">
        <v>117</v>
      </c>
    </row>
    <row r="110" spans="1:16" x14ac:dyDescent="0.3">
      <c r="A110" s="10" t="s">
        <v>173</v>
      </c>
      <c r="B110" s="1">
        <v>2345</v>
      </c>
      <c r="C110" s="1">
        <v>2281</v>
      </c>
      <c r="D110" s="1">
        <v>181</v>
      </c>
      <c r="E110" s="10" t="s">
        <v>78</v>
      </c>
      <c r="F110" s="10" t="s">
        <v>78</v>
      </c>
      <c r="G110" s="10" t="s">
        <v>78</v>
      </c>
      <c r="H110" s="1">
        <v>4807</v>
      </c>
      <c r="I110" s="1">
        <v>61</v>
      </c>
      <c r="J110" s="1">
        <v>4746</v>
      </c>
      <c r="K110" s="1">
        <v>3556</v>
      </c>
      <c r="L110" s="1">
        <v>3298</v>
      </c>
      <c r="M110" s="1">
        <v>5004</v>
      </c>
      <c r="N110" s="1">
        <v>344</v>
      </c>
      <c r="O110" s="7">
        <v>4660</v>
      </c>
      <c r="P110" s="7">
        <v>258</v>
      </c>
    </row>
    <row r="111" spans="1:16" x14ac:dyDescent="0.3">
      <c r="A111" s="10" t="s">
        <v>174</v>
      </c>
      <c r="B111" s="1">
        <v>2383</v>
      </c>
      <c r="C111" s="1">
        <v>2285</v>
      </c>
      <c r="D111" s="1">
        <v>208</v>
      </c>
      <c r="E111" s="10" t="s">
        <v>78</v>
      </c>
      <c r="F111" s="10" t="s">
        <v>78</v>
      </c>
      <c r="G111" s="10" t="s">
        <v>78</v>
      </c>
      <c r="H111" s="1">
        <v>4876</v>
      </c>
      <c r="I111" s="1">
        <v>35</v>
      </c>
      <c r="J111" s="1">
        <v>4841</v>
      </c>
      <c r="K111" s="1">
        <v>3727</v>
      </c>
      <c r="L111" s="1">
        <v>3462</v>
      </c>
      <c r="M111" s="1">
        <v>5106</v>
      </c>
      <c r="N111" s="1">
        <v>331</v>
      </c>
      <c r="O111" s="7">
        <v>4775</v>
      </c>
      <c r="P111" s="7">
        <v>265</v>
      </c>
    </row>
    <row r="112" spans="1:16" x14ac:dyDescent="0.3">
      <c r="A112" s="10" t="s">
        <v>175</v>
      </c>
      <c r="B112" s="1">
        <v>2240</v>
      </c>
      <c r="C112" s="1">
        <v>2062</v>
      </c>
      <c r="D112" s="1">
        <v>255</v>
      </c>
      <c r="E112" s="10" t="s">
        <v>78</v>
      </c>
      <c r="F112" s="10" t="s">
        <v>78</v>
      </c>
      <c r="G112" s="10" t="s">
        <v>78</v>
      </c>
      <c r="H112" s="1">
        <v>4557</v>
      </c>
      <c r="I112" s="1">
        <v>24</v>
      </c>
      <c r="J112" s="1">
        <v>4533</v>
      </c>
      <c r="K112" s="1">
        <v>3465</v>
      </c>
      <c r="L112" s="1">
        <v>3390</v>
      </c>
      <c r="M112" s="1">
        <v>4608</v>
      </c>
      <c r="N112" s="1">
        <v>328</v>
      </c>
      <c r="O112" s="7">
        <v>4280</v>
      </c>
      <c r="P112" s="7">
        <v>75</v>
      </c>
    </row>
    <row r="113" spans="1:16" x14ac:dyDescent="0.3">
      <c r="A113" s="10" t="s">
        <v>176</v>
      </c>
      <c r="B113" s="1">
        <v>2343</v>
      </c>
      <c r="C113" s="1">
        <v>2269</v>
      </c>
      <c r="D113" s="1">
        <v>267</v>
      </c>
      <c r="E113" s="10" t="s">
        <v>78</v>
      </c>
      <c r="F113" s="10" t="s">
        <v>78</v>
      </c>
      <c r="G113" s="10" t="s">
        <v>78</v>
      </c>
      <c r="H113" s="1">
        <v>4879</v>
      </c>
      <c r="I113" s="1">
        <v>24</v>
      </c>
      <c r="J113" s="1">
        <v>4855</v>
      </c>
      <c r="K113" s="1">
        <v>3615</v>
      </c>
      <c r="L113" s="1">
        <v>3648</v>
      </c>
      <c r="M113" s="1">
        <v>4822</v>
      </c>
      <c r="N113" s="1">
        <v>333</v>
      </c>
      <c r="O113" s="7">
        <v>4489</v>
      </c>
      <c r="P113" s="7">
        <v>-33</v>
      </c>
    </row>
    <row r="114" spans="1:16" x14ac:dyDescent="0.3">
      <c r="A114" s="10" t="s">
        <v>177</v>
      </c>
      <c r="B114" s="1">
        <v>2344</v>
      </c>
      <c r="C114" s="1">
        <v>1978</v>
      </c>
      <c r="D114" s="1">
        <v>235</v>
      </c>
      <c r="E114" s="10" t="s">
        <v>78</v>
      </c>
      <c r="F114" s="10" t="s">
        <v>78</v>
      </c>
      <c r="G114" s="10" t="s">
        <v>78</v>
      </c>
      <c r="H114" s="1">
        <v>4557</v>
      </c>
      <c r="I114" s="1">
        <v>69</v>
      </c>
      <c r="J114" s="1">
        <v>4488</v>
      </c>
      <c r="K114" s="1">
        <v>3320</v>
      </c>
      <c r="L114" s="1">
        <v>3519</v>
      </c>
      <c r="M114" s="1">
        <v>4289</v>
      </c>
      <c r="N114" s="1">
        <v>326</v>
      </c>
      <c r="O114" s="7">
        <v>3963</v>
      </c>
      <c r="P114" s="7">
        <v>-199</v>
      </c>
    </row>
    <row r="115" spans="1:16" x14ac:dyDescent="0.3">
      <c r="A115" s="10" t="s">
        <v>178</v>
      </c>
      <c r="B115" s="1">
        <v>2995</v>
      </c>
      <c r="C115" s="1">
        <v>2035</v>
      </c>
      <c r="D115" s="1">
        <v>138</v>
      </c>
      <c r="E115" s="10" t="s">
        <v>78</v>
      </c>
      <c r="F115" s="10" t="s">
        <v>78</v>
      </c>
      <c r="G115" s="10" t="s">
        <v>78</v>
      </c>
      <c r="H115" s="1">
        <v>5168</v>
      </c>
      <c r="I115" s="1">
        <v>153</v>
      </c>
      <c r="J115" s="1">
        <v>5015</v>
      </c>
      <c r="K115" s="1">
        <v>2714</v>
      </c>
      <c r="L115" s="1">
        <v>3691</v>
      </c>
      <c r="M115" s="1">
        <v>4038</v>
      </c>
      <c r="N115" s="1">
        <v>286</v>
      </c>
      <c r="O115" s="7">
        <v>3752</v>
      </c>
      <c r="P115" s="7">
        <v>-977</v>
      </c>
    </row>
    <row r="116" spans="1:16" x14ac:dyDescent="0.3">
      <c r="A116" s="10" t="s">
        <v>179</v>
      </c>
      <c r="B116" s="1">
        <v>3851</v>
      </c>
      <c r="C116" s="1">
        <v>1613</v>
      </c>
      <c r="D116" s="1">
        <v>131</v>
      </c>
      <c r="E116" s="10" t="s">
        <v>78</v>
      </c>
      <c r="F116" s="10" t="s">
        <v>78</v>
      </c>
      <c r="G116" s="10" t="s">
        <v>78</v>
      </c>
      <c r="H116" s="1">
        <v>5595</v>
      </c>
      <c r="I116" s="1">
        <v>304</v>
      </c>
      <c r="J116" s="1">
        <v>5291</v>
      </c>
      <c r="K116" s="1">
        <v>2451</v>
      </c>
      <c r="L116" s="1">
        <v>3762</v>
      </c>
      <c r="M116" s="1">
        <v>3980</v>
      </c>
      <c r="N116" s="1">
        <v>265</v>
      </c>
      <c r="O116" s="7">
        <v>3715</v>
      </c>
      <c r="P116" s="7">
        <v>-1311</v>
      </c>
    </row>
    <row r="117" spans="1:16" x14ac:dyDescent="0.3">
      <c r="A117" s="10" t="s">
        <v>180</v>
      </c>
      <c r="B117" s="1">
        <v>3672</v>
      </c>
      <c r="C117" s="1">
        <v>1779</v>
      </c>
      <c r="D117" s="1">
        <v>123</v>
      </c>
      <c r="E117" s="10" t="s">
        <v>78</v>
      </c>
      <c r="F117" s="10" t="s">
        <v>78</v>
      </c>
      <c r="G117" s="10" t="s">
        <v>78</v>
      </c>
      <c r="H117" s="1">
        <v>5574</v>
      </c>
      <c r="I117" s="1">
        <v>299</v>
      </c>
      <c r="J117" s="1">
        <v>5275</v>
      </c>
      <c r="K117" s="1">
        <v>2504</v>
      </c>
      <c r="L117" s="1">
        <v>3912</v>
      </c>
      <c r="M117" s="1">
        <v>3867</v>
      </c>
      <c r="N117" s="1">
        <v>290</v>
      </c>
      <c r="O117" s="7">
        <v>3577</v>
      </c>
      <c r="P117" s="7">
        <v>-1408</v>
      </c>
    </row>
    <row r="118" spans="1:16" x14ac:dyDescent="0.3">
      <c r="A118" s="10" t="s">
        <v>181</v>
      </c>
      <c r="B118" s="1">
        <v>3376</v>
      </c>
      <c r="C118" s="1">
        <v>1312</v>
      </c>
      <c r="D118" s="1">
        <v>135</v>
      </c>
      <c r="E118" s="10" t="s">
        <v>78</v>
      </c>
      <c r="F118" s="10" t="s">
        <v>78</v>
      </c>
      <c r="G118" s="10" t="s">
        <v>78</v>
      </c>
      <c r="H118" s="1">
        <v>4823</v>
      </c>
      <c r="I118" s="1">
        <v>313</v>
      </c>
      <c r="J118" s="1">
        <v>4510</v>
      </c>
      <c r="K118" s="1">
        <v>2963</v>
      </c>
      <c r="L118" s="1">
        <v>3580</v>
      </c>
      <c r="M118" s="1">
        <v>3893</v>
      </c>
      <c r="N118" s="1">
        <v>287</v>
      </c>
      <c r="O118" s="7">
        <v>3606</v>
      </c>
      <c r="P118" s="7">
        <v>-617</v>
      </c>
    </row>
    <row r="119" spans="1:16" x14ac:dyDescent="0.3">
      <c r="A119" s="10" t="s">
        <v>182</v>
      </c>
      <c r="B119" s="1">
        <v>3110</v>
      </c>
      <c r="C119" s="1">
        <v>2165</v>
      </c>
      <c r="D119" s="1">
        <v>161</v>
      </c>
      <c r="E119" s="10" t="s">
        <v>78</v>
      </c>
      <c r="F119" s="10" t="s">
        <v>78</v>
      </c>
      <c r="G119" s="10" t="s">
        <v>78</v>
      </c>
      <c r="H119" s="1">
        <v>5436</v>
      </c>
      <c r="I119" s="1">
        <v>190</v>
      </c>
      <c r="J119" s="1">
        <v>5246</v>
      </c>
      <c r="K119" s="1">
        <v>2601</v>
      </c>
      <c r="L119" s="1">
        <v>3645</v>
      </c>
      <c r="M119" s="1">
        <v>4202</v>
      </c>
      <c r="N119" s="1">
        <v>295</v>
      </c>
      <c r="O119" s="7">
        <v>3907</v>
      </c>
      <c r="P119" s="7">
        <v>-1044</v>
      </c>
    </row>
    <row r="120" spans="1:16" x14ac:dyDescent="0.3">
      <c r="A120" s="10" t="s">
        <v>183</v>
      </c>
      <c r="B120" s="1">
        <v>2458</v>
      </c>
      <c r="C120" s="1">
        <v>2269</v>
      </c>
      <c r="D120" s="1">
        <v>219</v>
      </c>
      <c r="E120" s="10" t="s">
        <v>78</v>
      </c>
      <c r="F120" s="10" t="s">
        <v>78</v>
      </c>
      <c r="G120" s="10" t="s">
        <v>78</v>
      </c>
      <c r="H120" s="1">
        <v>4946</v>
      </c>
      <c r="I120" s="1">
        <v>108</v>
      </c>
      <c r="J120" s="1">
        <v>4838</v>
      </c>
      <c r="K120" s="1">
        <v>3027</v>
      </c>
      <c r="L120" s="1">
        <v>3393</v>
      </c>
      <c r="M120" s="1">
        <v>4472</v>
      </c>
      <c r="N120" s="1">
        <v>326</v>
      </c>
      <c r="O120" s="7">
        <v>4146</v>
      </c>
      <c r="P120" s="7">
        <v>-366</v>
      </c>
    </row>
    <row r="121" spans="1:16" x14ac:dyDescent="0.3">
      <c r="A121" s="10" t="s">
        <v>184</v>
      </c>
      <c r="B121" s="1">
        <v>2867</v>
      </c>
      <c r="C121" s="1">
        <v>2261</v>
      </c>
      <c r="D121" s="1">
        <v>201</v>
      </c>
      <c r="E121" s="10" t="s">
        <v>78</v>
      </c>
      <c r="F121" s="10" t="s">
        <v>78</v>
      </c>
      <c r="G121" s="10" t="s">
        <v>78</v>
      </c>
      <c r="H121" s="1">
        <v>5329</v>
      </c>
      <c r="I121" s="1">
        <v>57</v>
      </c>
      <c r="J121" s="1">
        <v>5272</v>
      </c>
      <c r="K121" s="1">
        <v>3201</v>
      </c>
      <c r="L121" s="1">
        <v>3518</v>
      </c>
      <c r="M121" s="1">
        <v>4955</v>
      </c>
      <c r="N121" s="1">
        <v>338</v>
      </c>
      <c r="O121" s="7">
        <v>4617</v>
      </c>
      <c r="P121" s="7">
        <v>-317</v>
      </c>
    </row>
    <row r="122" spans="1:16" x14ac:dyDescent="0.3">
      <c r="A122" s="10" t="s">
        <v>185</v>
      </c>
      <c r="B122" s="1">
        <v>2656</v>
      </c>
      <c r="C122" s="1">
        <v>2340</v>
      </c>
      <c r="D122" s="1">
        <v>212</v>
      </c>
      <c r="E122" s="10" t="s">
        <v>78</v>
      </c>
      <c r="F122" s="10" t="s">
        <v>78</v>
      </c>
      <c r="G122" s="10" t="s">
        <v>78</v>
      </c>
      <c r="H122" s="1">
        <v>5208</v>
      </c>
      <c r="I122" s="1">
        <v>44</v>
      </c>
      <c r="J122" s="1">
        <v>5164</v>
      </c>
      <c r="K122" s="1">
        <v>3831</v>
      </c>
      <c r="L122" s="1">
        <v>3853</v>
      </c>
      <c r="M122" s="1">
        <v>5142</v>
      </c>
      <c r="N122" s="1">
        <v>349</v>
      </c>
      <c r="O122" s="7">
        <v>4793</v>
      </c>
      <c r="P122" s="7">
        <v>-22</v>
      </c>
    </row>
    <row r="123" spans="1:16" x14ac:dyDescent="0.3">
      <c r="A123" s="10" t="s">
        <v>186</v>
      </c>
      <c r="B123" s="1">
        <v>2300</v>
      </c>
      <c r="C123" s="1">
        <v>2279</v>
      </c>
      <c r="D123" s="1">
        <v>248</v>
      </c>
      <c r="E123" s="10" t="s">
        <v>78</v>
      </c>
      <c r="F123" s="10" t="s">
        <v>78</v>
      </c>
      <c r="G123" s="10" t="s">
        <v>78</v>
      </c>
      <c r="H123" s="1">
        <v>4827</v>
      </c>
      <c r="I123" s="1">
        <v>44</v>
      </c>
      <c r="J123" s="1">
        <v>4783</v>
      </c>
      <c r="K123" s="1">
        <v>4109</v>
      </c>
      <c r="L123" s="1">
        <v>3703</v>
      </c>
      <c r="M123" s="1">
        <v>5189</v>
      </c>
      <c r="N123" s="1">
        <v>329</v>
      </c>
      <c r="O123" s="7">
        <v>4860</v>
      </c>
      <c r="P123" s="7">
        <v>406</v>
      </c>
    </row>
    <row r="124" spans="1:16" x14ac:dyDescent="0.3">
      <c r="A124" s="10" t="s">
        <v>187</v>
      </c>
      <c r="B124" s="1">
        <v>2499</v>
      </c>
      <c r="C124" s="1">
        <v>2107</v>
      </c>
      <c r="D124" s="1">
        <v>230</v>
      </c>
      <c r="E124" s="10" t="s">
        <v>78</v>
      </c>
      <c r="F124" s="10" t="s">
        <v>78</v>
      </c>
      <c r="G124" s="10" t="s">
        <v>78</v>
      </c>
      <c r="H124" s="1">
        <v>4836</v>
      </c>
      <c r="I124" s="1">
        <v>21</v>
      </c>
      <c r="J124" s="1">
        <v>4815</v>
      </c>
      <c r="K124" s="1">
        <v>3552</v>
      </c>
      <c r="L124" s="1">
        <v>3371</v>
      </c>
      <c r="M124" s="1">
        <v>4996</v>
      </c>
      <c r="N124" s="1">
        <v>352</v>
      </c>
      <c r="O124" s="7">
        <v>4644</v>
      </c>
      <c r="P124" s="7">
        <v>181</v>
      </c>
    </row>
    <row r="125" spans="1:16" x14ac:dyDescent="0.3">
      <c r="A125" s="10" t="s">
        <v>188</v>
      </c>
      <c r="B125" s="1">
        <v>2570</v>
      </c>
      <c r="C125" s="1">
        <v>2180</v>
      </c>
      <c r="D125" s="1">
        <v>225</v>
      </c>
      <c r="E125" s="10" t="s">
        <v>78</v>
      </c>
      <c r="F125" s="10" t="s">
        <v>78</v>
      </c>
      <c r="G125" s="10" t="s">
        <v>78</v>
      </c>
      <c r="H125" s="1">
        <v>4975</v>
      </c>
      <c r="I125" s="1">
        <v>34</v>
      </c>
      <c r="J125" s="1">
        <v>4941</v>
      </c>
      <c r="K125" s="1">
        <v>3694</v>
      </c>
      <c r="L125" s="1">
        <v>3597</v>
      </c>
      <c r="M125" s="1">
        <v>5038</v>
      </c>
      <c r="N125" s="1">
        <v>341</v>
      </c>
      <c r="O125" s="7">
        <v>4697</v>
      </c>
      <c r="P125" s="7">
        <v>97</v>
      </c>
    </row>
    <row r="126" spans="1:16" x14ac:dyDescent="0.3">
      <c r="A126" s="10" t="s">
        <v>189</v>
      </c>
      <c r="B126" s="1">
        <v>2535</v>
      </c>
      <c r="C126" s="1">
        <v>2035</v>
      </c>
      <c r="D126" s="1">
        <v>210</v>
      </c>
      <c r="E126" s="10" t="s">
        <v>78</v>
      </c>
      <c r="F126" s="10" t="s">
        <v>78</v>
      </c>
      <c r="G126" s="10" t="s">
        <v>78</v>
      </c>
      <c r="H126" s="1">
        <v>4780</v>
      </c>
      <c r="I126" s="1">
        <v>95</v>
      </c>
      <c r="J126" s="1">
        <v>4685</v>
      </c>
      <c r="K126" s="1">
        <v>3124</v>
      </c>
      <c r="L126" s="1">
        <v>3362</v>
      </c>
      <c r="M126" s="1">
        <v>4447</v>
      </c>
      <c r="N126" s="1">
        <v>336</v>
      </c>
      <c r="O126" s="7">
        <v>4111</v>
      </c>
      <c r="P126" s="7">
        <v>-238</v>
      </c>
    </row>
    <row r="127" spans="1:16" x14ac:dyDescent="0.3">
      <c r="A127" s="10" t="s">
        <v>190</v>
      </c>
      <c r="B127" s="1">
        <v>3842</v>
      </c>
      <c r="C127" s="1">
        <v>2215</v>
      </c>
      <c r="D127" s="1">
        <v>191</v>
      </c>
      <c r="E127" s="10" t="s">
        <v>78</v>
      </c>
      <c r="F127" s="10" t="s">
        <v>78</v>
      </c>
      <c r="G127" s="10" t="s">
        <v>78</v>
      </c>
      <c r="H127" s="1">
        <v>6248</v>
      </c>
      <c r="I127" s="1">
        <v>194</v>
      </c>
      <c r="J127" s="1">
        <v>6054</v>
      </c>
      <c r="K127" s="1">
        <v>2255</v>
      </c>
      <c r="L127" s="1">
        <v>4162</v>
      </c>
      <c r="M127" s="1">
        <v>4147</v>
      </c>
      <c r="N127" s="1">
        <v>295</v>
      </c>
      <c r="O127" s="7">
        <v>3852</v>
      </c>
      <c r="P127" s="7">
        <v>-1907</v>
      </c>
    </row>
    <row r="128" spans="1:16" x14ac:dyDescent="0.3">
      <c r="A128" s="10" t="s">
        <v>191</v>
      </c>
      <c r="B128" s="1">
        <v>4263</v>
      </c>
      <c r="C128" s="1">
        <v>1860</v>
      </c>
      <c r="D128" s="1">
        <v>168</v>
      </c>
      <c r="E128" s="10" t="s">
        <v>78</v>
      </c>
      <c r="F128" s="10" t="s">
        <v>78</v>
      </c>
      <c r="G128" s="10" t="s">
        <v>78</v>
      </c>
      <c r="H128" s="1">
        <v>6291</v>
      </c>
      <c r="I128" s="1">
        <v>252</v>
      </c>
      <c r="J128" s="1">
        <v>6039</v>
      </c>
      <c r="K128" s="1">
        <v>2288</v>
      </c>
      <c r="L128" s="1">
        <v>4328</v>
      </c>
      <c r="M128" s="1">
        <v>3999</v>
      </c>
      <c r="N128" s="1">
        <v>267</v>
      </c>
      <c r="O128" s="7">
        <v>3732</v>
      </c>
      <c r="P128" s="7">
        <v>-2040</v>
      </c>
    </row>
    <row r="129" spans="1:16" x14ac:dyDescent="0.3">
      <c r="A129" s="10" t="s">
        <v>192</v>
      </c>
      <c r="B129" s="1">
        <v>4446</v>
      </c>
      <c r="C129" s="1">
        <v>1168</v>
      </c>
      <c r="D129" s="1">
        <v>157</v>
      </c>
      <c r="E129" s="10" t="s">
        <v>78</v>
      </c>
      <c r="F129" s="10" t="s">
        <v>78</v>
      </c>
      <c r="G129" s="10" t="s">
        <v>78</v>
      </c>
      <c r="H129" s="1">
        <v>5771</v>
      </c>
      <c r="I129" s="1">
        <v>222</v>
      </c>
      <c r="J129" s="1">
        <v>5549</v>
      </c>
      <c r="K129" s="1">
        <v>2536</v>
      </c>
      <c r="L129" s="1">
        <v>4165</v>
      </c>
      <c r="M129" s="1">
        <v>3920</v>
      </c>
      <c r="N129" s="1">
        <v>293</v>
      </c>
      <c r="O129" s="7">
        <v>3627</v>
      </c>
      <c r="P129" s="7">
        <v>-1629</v>
      </c>
    </row>
    <row r="130" spans="1:16" x14ac:dyDescent="0.3">
      <c r="A130" s="10" t="s">
        <v>193</v>
      </c>
      <c r="B130" s="1">
        <v>4412</v>
      </c>
      <c r="C130" s="1">
        <v>1062</v>
      </c>
      <c r="D130" s="1">
        <v>177</v>
      </c>
      <c r="E130" s="10" t="s">
        <v>78</v>
      </c>
      <c r="F130" s="10" t="s">
        <v>78</v>
      </c>
      <c r="G130" s="10" t="s">
        <v>78</v>
      </c>
      <c r="H130" s="1">
        <v>5651</v>
      </c>
      <c r="I130" s="1">
        <v>215</v>
      </c>
      <c r="J130" s="1">
        <v>5436</v>
      </c>
      <c r="K130" s="1">
        <v>1935</v>
      </c>
      <c r="L130" s="1">
        <v>3354</v>
      </c>
      <c r="M130" s="1">
        <v>4017</v>
      </c>
      <c r="N130" s="1">
        <v>296</v>
      </c>
      <c r="O130" s="7">
        <v>3721</v>
      </c>
      <c r="P130" s="7">
        <v>-1419</v>
      </c>
    </row>
    <row r="131" spans="1:16" x14ac:dyDescent="0.3">
      <c r="A131" s="10" t="s">
        <v>194</v>
      </c>
      <c r="B131" s="1">
        <v>3946</v>
      </c>
      <c r="C131" s="1">
        <v>1816</v>
      </c>
      <c r="D131" s="1">
        <v>235</v>
      </c>
      <c r="E131" s="10" t="s">
        <v>78</v>
      </c>
      <c r="F131" s="10" t="s">
        <v>78</v>
      </c>
      <c r="G131" s="10" t="s">
        <v>78</v>
      </c>
      <c r="H131" s="1">
        <v>5997</v>
      </c>
      <c r="I131" s="1">
        <v>131</v>
      </c>
      <c r="J131" s="1">
        <v>5866</v>
      </c>
      <c r="K131" s="1">
        <v>2552</v>
      </c>
      <c r="L131" s="1">
        <v>4136</v>
      </c>
      <c r="M131" s="1">
        <v>4282</v>
      </c>
      <c r="N131" s="1">
        <v>298</v>
      </c>
      <c r="O131" s="7">
        <v>3984</v>
      </c>
      <c r="P131" s="7">
        <v>-1584</v>
      </c>
    </row>
    <row r="132" spans="1:16" x14ac:dyDescent="0.3">
      <c r="A132" s="10" t="s">
        <v>195</v>
      </c>
      <c r="B132" s="1">
        <v>3681</v>
      </c>
      <c r="C132" s="1">
        <v>2170</v>
      </c>
      <c r="D132" s="1">
        <v>233</v>
      </c>
      <c r="E132" s="10" t="s">
        <v>78</v>
      </c>
      <c r="F132" s="10" t="s">
        <v>78</v>
      </c>
      <c r="G132" s="10" t="s">
        <v>78</v>
      </c>
      <c r="H132" s="1">
        <v>6084</v>
      </c>
      <c r="I132" s="1">
        <v>82</v>
      </c>
      <c r="J132" s="1">
        <v>6002</v>
      </c>
      <c r="K132" s="1">
        <v>3120</v>
      </c>
      <c r="L132" s="1">
        <v>4511</v>
      </c>
      <c r="M132" s="1">
        <v>4611</v>
      </c>
      <c r="N132" s="1">
        <v>335</v>
      </c>
      <c r="O132" s="7">
        <v>4276</v>
      </c>
      <c r="P132" s="7">
        <v>-1391</v>
      </c>
    </row>
    <row r="133" spans="1:16" x14ac:dyDescent="0.3">
      <c r="A133" s="10" t="s">
        <v>196</v>
      </c>
      <c r="B133" s="1">
        <v>3276</v>
      </c>
      <c r="C133" s="1">
        <v>2276</v>
      </c>
      <c r="D133" s="1">
        <v>238</v>
      </c>
      <c r="E133" s="10" t="s">
        <v>78</v>
      </c>
      <c r="F133" s="10" t="s">
        <v>78</v>
      </c>
      <c r="G133" s="10" t="s">
        <v>78</v>
      </c>
      <c r="H133" s="1">
        <v>5790</v>
      </c>
      <c r="I133" s="1">
        <v>35</v>
      </c>
      <c r="J133" s="1">
        <v>5755</v>
      </c>
      <c r="K133" s="1">
        <v>3799</v>
      </c>
      <c r="L133" s="1">
        <v>4450</v>
      </c>
      <c r="M133" s="1">
        <v>5104</v>
      </c>
      <c r="N133" s="1">
        <v>344</v>
      </c>
      <c r="O133" s="7">
        <v>4760</v>
      </c>
      <c r="P133" s="7">
        <v>-651</v>
      </c>
    </row>
    <row r="134" spans="1:16" x14ac:dyDescent="0.3">
      <c r="A134" s="21" t="s">
        <v>197</v>
      </c>
      <c r="B134" s="1">
        <v>2846</v>
      </c>
      <c r="C134" s="1">
        <v>2355</v>
      </c>
      <c r="D134" s="1">
        <v>242</v>
      </c>
      <c r="E134" s="10" t="s">
        <v>78</v>
      </c>
      <c r="F134" s="10" t="s">
        <v>78</v>
      </c>
      <c r="G134" s="10" t="s">
        <v>78</v>
      </c>
      <c r="H134" s="1">
        <v>5443</v>
      </c>
      <c r="I134" s="1">
        <v>83</v>
      </c>
      <c r="J134" s="1">
        <v>5360</v>
      </c>
      <c r="K134" s="22">
        <v>4100</v>
      </c>
      <c r="L134" s="22">
        <v>4154</v>
      </c>
      <c r="M134" s="1">
        <v>5306</v>
      </c>
      <c r="N134" s="1">
        <v>357</v>
      </c>
      <c r="O134" s="7">
        <v>4949</v>
      </c>
      <c r="P134" s="7">
        <v>-54</v>
      </c>
    </row>
    <row r="135" spans="1:16" x14ac:dyDescent="0.3">
      <c r="A135" s="10" t="s">
        <v>198</v>
      </c>
      <c r="B135" s="1">
        <v>2895</v>
      </c>
      <c r="C135" s="1">
        <v>2354</v>
      </c>
      <c r="D135" s="1">
        <v>238</v>
      </c>
      <c r="E135" s="10" t="s">
        <v>78</v>
      </c>
      <c r="F135" s="10" t="s">
        <v>78</v>
      </c>
      <c r="G135" s="10" t="s">
        <v>78</v>
      </c>
      <c r="H135" s="1">
        <v>5487</v>
      </c>
      <c r="I135" s="1">
        <v>72</v>
      </c>
      <c r="J135" s="1">
        <v>5415</v>
      </c>
      <c r="K135" s="1">
        <v>2580</v>
      </c>
      <c r="L135" s="1">
        <v>2521</v>
      </c>
      <c r="M135" s="1">
        <v>5474</v>
      </c>
      <c r="N135" s="1">
        <v>346</v>
      </c>
      <c r="O135" s="7">
        <v>5128</v>
      </c>
      <c r="P135" s="7">
        <v>59</v>
      </c>
    </row>
    <row r="136" spans="1:16" x14ac:dyDescent="0.3">
      <c r="A136" s="10" t="s">
        <v>199</v>
      </c>
      <c r="B136" s="1">
        <v>2475</v>
      </c>
      <c r="C136" s="1">
        <v>2213</v>
      </c>
      <c r="D136" s="1">
        <v>232</v>
      </c>
      <c r="E136" s="10" t="s">
        <v>78</v>
      </c>
      <c r="F136" s="10" t="s">
        <v>78</v>
      </c>
      <c r="G136" s="10" t="s">
        <v>78</v>
      </c>
      <c r="H136" s="1">
        <v>4920</v>
      </c>
      <c r="I136" s="1">
        <v>40</v>
      </c>
      <c r="J136" s="1">
        <v>4880</v>
      </c>
      <c r="K136" s="1">
        <v>2478</v>
      </c>
      <c r="L136" s="1">
        <v>2337</v>
      </c>
      <c r="M136" s="1">
        <v>5021</v>
      </c>
      <c r="N136" s="1">
        <v>353</v>
      </c>
      <c r="O136" s="7">
        <v>4668</v>
      </c>
      <c r="P136" s="7">
        <v>141</v>
      </c>
    </row>
    <row r="137" spans="1:16" x14ac:dyDescent="0.3">
      <c r="A137" s="10" t="s">
        <v>200</v>
      </c>
      <c r="B137" s="1">
        <v>2532</v>
      </c>
      <c r="C137" s="1">
        <v>2355</v>
      </c>
      <c r="D137" s="1">
        <v>229</v>
      </c>
      <c r="E137" s="10" t="s">
        <v>78</v>
      </c>
      <c r="F137" s="10" t="s">
        <v>78</v>
      </c>
      <c r="G137" s="10" t="s">
        <v>78</v>
      </c>
      <c r="H137" s="1">
        <v>5116</v>
      </c>
      <c r="I137" s="1">
        <v>44</v>
      </c>
      <c r="J137" s="1">
        <v>5072</v>
      </c>
      <c r="K137" s="1">
        <v>2608</v>
      </c>
      <c r="L137" s="1">
        <v>2596</v>
      </c>
      <c r="M137" s="1">
        <v>5084</v>
      </c>
      <c r="N137" s="1">
        <v>347</v>
      </c>
      <c r="O137" s="7">
        <v>4737</v>
      </c>
      <c r="P137" s="7">
        <v>12</v>
      </c>
    </row>
    <row r="138" spans="1:16" x14ac:dyDescent="0.3">
      <c r="A138" s="10" t="s">
        <v>201</v>
      </c>
      <c r="B138" s="1">
        <v>2264</v>
      </c>
      <c r="C138" s="1">
        <v>2278</v>
      </c>
      <c r="D138" s="1">
        <v>218</v>
      </c>
      <c r="E138" s="10" t="s">
        <v>78</v>
      </c>
      <c r="F138" s="10" t="s">
        <v>78</v>
      </c>
      <c r="G138" s="10" t="s">
        <v>78</v>
      </c>
      <c r="H138" s="1">
        <v>4760</v>
      </c>
      <c r="I138" s="1">
        <v>139</v>
      </c>
      <c r="J138" s="1">
        <v>4621</v>
      </c>
      <c r="K138" s="1">
        <v>2181</v>
      </c>
      <c r="L138" s="1">
        <v>2375</v>
      </c>
      <c r="M138" s="1">
        <v>4427</v>
      </c>
      <c r="N138" s="1">
        <v>334</v>
      </c>
      <c r="O138" s="7">
        <v>4093</v>
      </c>
      <c r="P138" s="7">
        <v>-194</v>
      </c>
    </row>
    <row r="139" spans="1:16" x14ac:dyDescent="0.3">
      <c r="A139" s="10" t="s">
        <v>202</v>
      </c>
      <c r="B139" s="1">
        <v>3980</v>
      </c>
      <c r="C139" s="1">
        <v>2307</v>
      </c>
      <c r="D139" s="1">
        <v>197</v>
      </c>
      <c r="E139" s="10" t="s">
        <v>78</v>
      </c>
      <c r="F139" s="10" t="s">
        <v>78</v>
      </c>
      <c r="G139" s="10" t="s">
        <v>78</v>
      </c>
      <c r="H139" s="1">
        <v>6484</v>
      </c>
      <c r="I139" s="1">
        <v>228</v>
      </c>
      <c r="J139" s="1">
        <v>6256</v>
      </c>
      <c r="K139" s="1">
        <v>1212</v>
      </c>
      <c r="L139" s="1">
        <v>3034</v>
      </c>
      <c r="M139" s="1">
        <v>4434</v>
      </c>
      <c r="N139" s="1">
        <v>315</v>
      </c>
      <c r="O139" s="7">
        <v>4119</v>
      </c>
      <c r="P139" s="7">
        <v>-1822</v>
      </c>
    </row>
    <row r="140" spans="1:16" x14ac:dyDescent="0.3">
      <c r="A140" s="10" t="s">
        <v>203</v>
      </c>
      <c r="B140" s="1">
        <v>4079</v>
      </c>
      <c r="C140" s="1">
        <v>2133</v>
      </c>
      <c r="D140" s="1">
        <v>193</v>
      </c>
      <c r="E140" s="10" t="s">
        <v>78</v>
      </c>
      <c r="F140" s="10" t="s">
        <v>78</v>
      </c>
      <c r="G140" s="10" t="s">
        <v>78</v>
      </c>
      <c r="H140" s="1">
        <v>6405</v>
      </c>
      <c r="I140" s="1">
        <v>305</v>
      </c>
      <c r="J140" s="1">
        <v>6100</v>
      </c>
      <c r="K140" s="1">
        <v>1023</v>
      </c>
      <c r="L140" s="1">
        <v>2950</v>
      </c>
      <c r="M140" s="1">
        <v>4173</v>
      </c>
      <c r="N140" s="1">
        <v>278</v>
      </c>
      <c r="O140" s="7">
        <v>3895</v>
      </c>
      <c r="P140" s="7">
        <v>-1927</v>
      </c>
    </row>
    <row r="141" spans="1:16" x14ac:dyDescent="0.3">
      <c r="A141" s="10" t="s">
        <v>204</v>
      </c>
      <c r="B141" s="1">
        <v>3799</v>
      </c>
      <c r="C141" s="1">
        <v>1285</v>
      </c>
      <c r="D141" s="1">
        <v>176</v>
      </c>
      <c r="E141" s="10" t="s">
        <v>78</v>
      </c>
      <c r="F141" s="10" t="s">
        <v>78</v>
      </c>
      <c r="G141" s="10" t="s">
        <v>78</v>
      </c>
      <c r="H141" s="1">
        <v>5260</v>
      </c>
      <c r="I141" s="1">
        <v>248</v>
      </c>
      <c r="J141" s="1">
        <v>5012</v>
      </c>
      <c r="K141" s="1">
        <v>1725</v>
      </c>
      <c r="L141" s="1">
        <v>2595</v>
      </c>
      <c r="M141" s="1">
        <v>4142</v>
      </c>
      <c r="N141" s="1">
        <v>310</v>
      </c>
      <c r="O141" s="7">
        <v>3832</v>
      </c>
      <c r="P141" s="7">
        <v>-870</v>
      </c>
    </row>
    <row r="142" spans="1:16" x14ac:dyDescent="0.3">
      <c r="A142" s="10" t="s">
        <v>205</v>
      </c>
      <c r="B142" s="1">
        <v>3727</v>
      </c>
      <c r="C142" s="1">
        <v>1024</v>
      </c>
      <c r="D142" s="1">
        <v>185</v>
      </c>
      <c r="E142" s="10" t="s">
        <v>78</v>
      </c>
      <c r="F142" s="10" t="s">
        <v>78</v>
      </c>
      <c r="G142" s="10" t="s">
        <v>78</v>
      </c>
      <c r="H142" s="1">
        <v>4936</v>
      </c>
      <c r="I142" s="1">
        <v>275</v>
      </c>
      <c r="J142" s="1">
        <v>4661</v>
      </c>
      <c r="K142" s="1">
        <v>1660</v>
      </c>
      <c r="L142" s="1">
        <v>2092</v>
      </c>
      <c r="M142" s="1">
        <v>4229</v>
      </c>
      <c r="N142" s="1">
        <v>312</v>
      </c>
      <c r="O142" s="7">
        <v>3917</v>
      </c>
      <c r="P142" s="7">
        <v>-432</v>
      </c>
    </row>
    <row r="143" spans="1:16" x14ac:dyDescent="0.3">
      <c r="A143" s="10" t="s">
        <v>206</v>
      </c>
      <c r="B143" s="1">
        <v>2825</v>
      </c>
      <c r="C143" s="1">
        <v>1979</v>
      </c>
      <c r="D143" s="1">
        <v>213</v>
      </c>
      <c r="E143" s="10" t="s">
        <v>78</v>
      </c>
      <c r="F143" s="10" t="s">
        <v>78</v>
      </c>
      <c r="G143" s="10" t="s">
        <v>78</v>
      </c>
      <c r="H143" s="1">
        <v>5017</v>
      </c>
      <c r="I143" s="1">
        <v>219</v>
      </c>
      <c r="J143" s="1">
        <v>4798</v>
      </c>
      <c r="K143" s="1">
        <v>2129</v>
      </c>
      <c r="L143" s="1">
        <v>2558</v>
      </c>
      <c r="M143" s="1">
        <v>4369</v>
      </c>
      <c r="N143" s="1">
        <v>304</v>
      </c>
      <c r="O143" s="7">
        <v>4065</v>
      </c>
      <c r="P143" s="7">
        <v>-429</v>
      </c>
    </row>
    <row r="144" spans="1:16" x14ac:dyDescent="0.3">
      <c r="A144" s="10" t="s">
        <v>207</v>
      </c>
      <c r="B144" s="1">
        <v>3424</v>
      </c>
      <c r="C144" s="1">
        <v>2341</v>
      </c>
      <c r="D144" s="1">
        <v>218</v>
      </c>
      <c r="E144" s="10" t="s">
        <v>78</v>
      </c>
      <c r="F144" s="10" t="s">
        <v>78</v>
      </c>
      <c r="G144" s="10" t="s">
        <v>78</v>
      </c>
      <c r="H144" s="1">
        <v>5983</v>
      </c>
      <c r="I144" s="1">
        <v>158</v>
      </c>
      <c r="J144" s="1">
        <v>5825</v>
      </c>
      <c r="K144" s="1">
        <v>2035</v>
      </c>
      <c r="L144" s="1">
        <v>3073</v>
      </c>
      <c r="M144" s="1">
        <v>4787</v>
      </c>
      <c r="N144" s="1">
        <v>348</v>
      </c>
      <c r="O144" s="7">
        <v>4439</v>
      </c>
      <c r="P144" s="7">
        <v>-1038</v>
      </c>
    </row>
    <row r="145" spans="1:16" x14ac:dyDescent="0.3">
      <c r="A145" s="10" t="s">
        <v>208</v>
      </c>
      <c r="B145" s="1">
        <v>3174</v>
      </c>
      <c r="C145" s="1">
        <v>2297</v>
      </c>
      <c r="D145" s="1">
        <v>214</v>
      </c>
      <c r="E145" s="10" t="s">
        <v>78</v>
      </c>
      <c r="F145" s="10" t="s">
        <v>78</v>
      </c>
      <c r="G145" s="10" t="s">
        <v>78</v>
      </c>
      <c r="H145" s="1">
        <v>5685</v>
      </c>
      <c r="I145" s="1">
        <v>122</v>
      </c>
      <c r="J145" s="1">
        <v>5563</v>
      </c>
      <c r="K145" s="1">
        <v>2084</v>
      </c>
      <c r="L145" s="1">
        <v>2614</v>
      </c>
      <c r="M145" s="1">
        <v>5033</v>
      </c>
      <c r="N145" s="1">
        <v>339</v>
      </c>
      <c r="O145" s="7">
        <v>4694</v>
      </c>
      <c r="P145" s="7">
        <v>-530</v>
      </c>
    </row>
    <row r="146" spans="1:16" x14ac:dyDescent="0.3">
      <c r="A146" s="10" t="s">
        <v>209</v>
      </c>
      <c r="B146" s="1">
        <v>2677</v>
      </c>
      <c r="C146" s="1">
        <v>2383</v>
      </c>
      <c r="D146" s="1">
        <v>235</v>
      </c>
      <c r="E146" s="10" t="s">
        <v>78</v>
      </c>
      <c r="F146" s="10" t="s">
        <v>78</v>
      </c>
      <c r="G146" s="10" t="s">
        <v>78</v>
      </c>
      <c r="H146" s="1">
        <v>5295</v>
      </c>
      <c r="I146" s="1">
        <v>124</v>
      </c>
      <c r="J146" s="1">
        <v>5171</v>
      </c>
      <c r="K146" s="1">
        <v>2615</v>
      </c>
      <c r="L146" s="1">
        <v>2655</v>
      </c>
      <c r="M146" s="1">
        <v>5131</v>
      </c>
      <c r="N146" s="1">
        <v>345</v>
      </c>
      <c r="O146" s="7">
        <v>4786</v>
      </c>
      <c r="P146" s="7">
        <v>-40</v>
      </c>
    </row>
    <row r="147" spans="1:16" x14ac:dyDescent="0.3">
      <c r="A147" s="10" t="s">
        <v>210</v>
      </c>
      <c r="B147" s="1">
        <v>3051</v>
      </c>
      <c r="C147" s="1">
        <v>2356</v>
      </c>
      <c r="D147" s="1">
        <v>246</v>
      </c>
      <c r="E147" s="10" t="s">
        <v>78</v>
      </c>
      <c r="F147" s="10" t="s">
        <v>78</v>
      </c>
      <c r="G147" s="10" t="s">
        <v>78</v>
      </c>
      <c r="H147" s="1">
        <v>5653</v>
      </c>
      <c r="I147" s="1">
        <v>87</v>
      </c>
      <c r="J147" s="1">
        <v>5566</v>
      </c>
      <c r="K147" s="1">
        <v>2686</v>
      </c>
      <c r="L147" s="1">
        <v>2738</v>
      </c>
      <c r="M147" s="1">
        <v>5514</v>
      </c>
      <c r="N147" s="1">
        <v>349</v>
      </c>
      <c r="O147" s="7">
        <v>5165</v>
      </c>
      <c r="P147" s="7">
        <v>-52</v>
      </c>
    </row>
    <row r="148" spans="1:16" x14ac:dyDescent="0.3">
      <c r="A148" s="10" t="s">
        <v>211</v>
      </c>
      <c r="B148" s="1">
        <v>2895</v>
      </c>
      <c r="C148" s="1">
        <v>2136</v>
      </c>
      <c r="D148" s="1">
        <v>228</v>
      </c>
      <c r="E148" s="10" t="s">
        <v>78</v>
      </c>
      <c r="F148" s="10" t="s">
        <v>78</v>
      </c>
      <c r="G148" s="10" t="s">
        <v>78</v>
      </c>
      <c r="H148" s="1">
        <v>5259</v>
      </c>
      <c r="I148" s="1">
        <v>66</v>
      </c>
      <c r="J148" s="1">
        <v>5193</v>
      </c>
      <c r="K148" s="1">
        <v>2245</v>
      </c>
      <c r="L148" s="1">
        <v>2483</v>
      </c>
      <c r="M148" s="1">
        <v>4955</v>
      </c>
      <c r="N148" s="1">
        <v>348</v>
      </c>
      <c r="O148" s="7">
        <v>4607</v>
      </c>
      <c r="P148" s="7">
        <v>-238</v>
      </c>
    </row>
    <row r="149" spans="1:16" x14ac:dyDescent="0.3">
      <c r="A149" s="10" t="s">
        <v>212</v>
      </c>
      <c r="B149" s="1">
        <v>3132</v>
      </c>
      <c r="C149" s="1">
        <v>2375</v>
      </c>
      <c r="D149" s="1">
        <v>236</v>
      </c>
      <c r="E149" s="10" t="s">
        <v>78</v>
      </c>
      <c r="F149" s="10" t="s">
        <v>78</v>
      </c>
      <c r="G149" s="10" t="s">
        <v>78</v>
      </c>
      <c r="H149" s="1">
        <v>5743</v>
      </c>
      <c r="I149" s="1">
        <v>114</v>
      </c>
      <c r="J149" s="1">
        <v>5629</v>
      </c>
      <c r="K149" s="1">
        <v>2326</v>
      </c>
      <c r="L149" s="1">
        <v>2729</v>
      </c>
      <c r="M149" s="1">
        <v>5226</v>
      </c>
      <c r="N149" s="1">
        <v>357</v>
      </c>
      <c r="O149" s="7">
        <v>4869</v>
      </c>
      <c r="P149" s="7">
        <v>-403</v>
      </c>
    </row>
    <row r="150" spans="1:16" x14ac:dyDescent="0.3">
      <c r="A150" s="10" t="s">
        <v>213</v>
      </c>
      <c r="B150" s="1">
        <v>2874</v>
      </c>
      <c r="C150" s="1">
        <v>2298</v>
      </c>
      <c r="D150" s="1">
        <v>223</v>
      </c>
      <c r="E150" s="10" t="s">
        <v>78</v>
      </c>
      <c r="F150" s="10" t="s">
        <v>78</v>
      </c>
      <c r="G150" s="10" t="s">
        <v>78</v>
      </c>
      <c r="H150" s="1">
        <v>5395</v>
      </c>
      <c r="I150" s="1">
        <v>106</v>
      </c>
      <c r="J150" s="1">
        <v>5289</v>
      </c>
      <c r="K150" s="1">
        <v>1851</v>
      </c>
      <c r="L150" s="1">
        <v>2425</v>
      </c>
      <c r="M150" s="1">
        <v>4715</v>
      </c>
      <c r="N150" s="1">
        <v>356</v>
      </c>
      <c r="O150" s="7">
        <v>4359</v>
      </c>
      <c r="P150" s="7">
        <v>-574</v>
      </c>
    </row>
    <row r="151" spans="1:16" x14ac:dyDescent="0.3">
      <c r="A151" s="10" t="s">
        <v>214</v>
      </c>
      <c r="B151" s="1">
        <v>4163</v>
      </c>
      <c r="C151" s="1">
        <v>2336</v>
      </c>
      <c r="D151" s="1">
        <v>212</v>
      </c>
      <c r="E151" s="10" t="s">
        <v>78</v>
      </c>
      <c r="F151" s="10" t="s">
        <v>78</v>
      </c>
      <c r="G151" s="10" t="s">
        <v>78</v>
      </c>
      <c r="H151" s="1">
        <v>6711</v>
      </c>
      <c r="I151" s="1">
        <v>255</v>
      </c>
      <c r="J151" s="1">
        <v>6456</v>
      </c>
      <c r="K151" s="1">
        <v>1092</v>
      </c>
      <c r="L151" s="1">
        <v>3047</v>
      </c>
      <c r="M151" s="1">
        <v>4501</v>
      </c>
      <c r="N151" s="1">
        <v>320</v>
      </c>
      <c r="O151" s="7">
        <v>4181</v>
      </c>
      <c r="P151" s="7">
        <v>-1955</v>
      </c>
    </row>
    <row r="152" spans="1:16" x14ac:dyDescent="0.3">
      <c r="A152" s="10" t="s">
        <v>215</v>
      </c>
      <c r="B152" s="1">
        <v>4442</v>
      </c>
      <c r="C152" s="1">
        <v>2111</v>
      </c>
      <c r="D152" s="1">
        <v>202</v>
      </c>
      <c r="E152" s="10" t="s">
        <v>78</v>
      </c>
      <c r="F152" s="10" t="s">
        <v>78</v>
      </c>
      <c r="G152" s="10" t="s">
        <v>78</v>
      </c>
      <c r="H152" s="1">
        <v>6755</v>
      </c>
      <c r="I152" s="1">
        <v>312</v>
      </c>
      <c r="J152" s="1">
        <v>6443</v>
      </c>
      <c r="K152" s="1">
        <v>963</v>
      </c>
      <c r="L152" s="1">
        <v>3120</v>
      </c>
      <c r="M152" s="1">
        <v>4286</v>
      </c>
      <c r="N152" s="1">
        <v>285</v>
      </c>
      <c r="O152" s="7">
        <v>4001</v>
      </c>
      <c r="P152" s="7">
        <v>-2157</v>
      </c>
    </row>
    <row r="153" spans="1:16" x14ac:dyDescent="0.3">
      <c r="A153" s="10" t="s">
        <v>216</v>
      </c>
      <c r="B153" s="1">
        <v>5145</v>
      </c>
      <c r="C153" s="1">
        <v>1468</v>
      </c>
      <c r="D153" s="1">
        <v>208</v>
      </c>
      <c r="E153" s="10" t="s">
        <v>78</v>
      </c>
      <c r="F153" s="10" t="s">
        <v>78</v>
      </c>
      <c r="G153" s="10" t="s">
        <v>78</v>
      </c>
      <c r="H153" s="1">
        <v>6821</v>
      </c>
      <c r="I153" s="1">
        <v>287</v>
      </c>
      <c r="J153" s="1">
        <v>6534</v>
      </c>
      <c r="K153" s="1">
        <v>1070</v>
      </c>
      <c r="L153" s="1">
        <v>3317</v>
      </c>
      <c r="M153" s="1">
        <v>4287</v>
      </c>
      <c r="N153" s="1">
        <v>321</v>
      </c>
      <c r="O153" s="7">
        <v>3966</v>
      </c>
      <c r="P153" s="7">
        <v>-2247</v>
      </c>
    </row>
    <row r="154" spans="1:16" x14ac:dyDescent="0.3">
      <c r="A154" s="10" t="s">
        <v>217</v>
      </c>
      <c r="B154" s="1">
        <v>5076</v>
      </c>
      <c r="C154" s="1">
        <v>1130</v>
      </c>
      <c r="D154" s="1">
        <v>165</v>
      </c>
      <c r="E154" s="10" t="s">
        <v>78</v>
      </c>
      <c r="F154" s="10" t="s">
        <v>78</v>
      </c>
      <c r="G154" s="10" t="s">
        <v>78</v>
      </c>
      <c r="H154" s="1">
        <v>6371</v>
      </c>
      <c r="I154" s="1">
        <v>239</v>
      </c>
      <c r="J154" s="1">
        <v>6132</v>
      </c>
      <c r="K154" s="1">
        <v>956</v>
      </c>
      <c r="L154" s="1">
        <v>2766</v>
      </c>
      <c r="M154" s="1">
        <v>4322</v>
      </c>
      <c r="N154" s="1">
        <v>319</v>
      </c>
      <c r="O154" s="7">
        <v>4003</v>
      </c>
      <c r="P154" s="7">
        <v>-1810</v>
      </c>
    </row>
    <row r="155" spans="1:16" x14ac:dyDescent="0.3">
      <c r="A155" s="10" t="s">
        <v>218</v>
      </c>
      <c r="B155" s="1">
        <v>3292</v>
      </c>
      <c r="C155" s="1">
        <v>2051</v>
      </c>
      <c r="D155" s="1">
        <v>211</v>
      </c>
      <c r="E155" s="10" t="s">
        <v>78</v>
      </c>
      <c r="F155" s="10" t="s">
        <v>78</v>
      </c>
      <c r="G155" s="10" t="s">
        <v>78</v>
      </c>
      <c r="H155" s="1">
        <v>5554</v>
      </c>
      <c r="I155" s="1">
        <v>139</v>
      </c>
      <c r="J155" s="1">
        <v>5415</v>
      </c>
      <c r="K155" s="1">
        <v>1986</v>
      </c>
      <c r="L155" s="1">
        <v>2892</v>
      </c>
      <c r="M155" s="1">
        <v>4509</v>
      </c>
      <c r="N155" s="1">
        <v>314</v>
      </c>
      <c r="O155" s="7">
        <v>4195</v>
      </c>
      <c r="P155" s="7">
        <v>-906</v>
      </c>
    </row>
    <row r="156" spans="1:16" x14ac:dyDescent="0.3">
      <c r="A156" s="10" t="s">
        <v>219</v>
      </c>
      <c r="B156" s="1">
        <v>2979</v>
      </c>
      <c r="C156" s="1">
        <v>2348</v>
      </c>
      <c r="D156" s="1">
        <v>229</v>
      </c>
      <c r="E156" s="10" t="s">
        <v>78</v>
      </c>
      <c r="F156" s="10" t="s">
        <v>78</v>
      </c>
      <c r="G156" s="10" t="s">
        <v>78</v>
      </c>
      <c r="H156" s="1">
        <v>5556</v>
      </c>
      <c r="I156" s="1">
        <v>128</v>
      </c>
      <c r="J156" s="1">
        <v>5428</v>
      </c>
      <c r="K156" s="1">
        <v>2412</v>
      </c>
      <c r="L156" s="1">
        <v>3100</v>
      </c>
      <c r="M156" s="1">
        <v>4740</v>
      </c>
      <c r="N156" s="1">
        <v>344</v>
      </c>
      <c r="O156" s="7">
        <v>4396</v>
      </c>
      <c r="P156" s="7">
        <v>-688</v>
      </c>
    </row>
    <row r="157" spans="1:16" x14ac:dyDescent="0.3">
      <c r="A157" s="10" t="s">
        <v>220</v>
      </c>
      <c r="B157" s="1">
        <v>2708</v>
      </c>
      <c r="C157" s="1">
        <v>2297</v>
      </c>
      <c r="D157" s="1">
        <v>227</v>
      </c>
      <c r="E157" s="10" t="s">
        <v>78</v>
      </c>
      <c r="F157" s="10" t="s">
        <v>78</v>
      </c>
      <c r="G157" s="10" t="s">
        <v>78</v>
      </c>
      <c r="H157" s="1">
        <v>5232</v>
      </c>
      <c r="I157" s="1">
        <v>96</v>
      </c>
      <c r="J157" s="1">
        <v>5136</v>
      </c>
      <c r="K157" s="1">
        <v>2946</v>
      </c>
      <c r="L157" s="1">
        <v>2849</v>
      </c>
      <c r="M157" s="1">
        <v>5233</v>
      </c>
      <c r="N157" s="1">
        <v>352</v>
      </c>
      <c r="O157" s="7">
        <v>4881</v>
      </c>
      <c r="P157" s="7">
        <v>97</v>
      </c>
    </row>
    <row r="158" spans="1:16" x14ac:dyDescent="0.3">
      <c r="A158" s="10" t="s">
        <v>221</v>
      </c>
      <c r="B158" s="1">
        <v>2504</v>
      </c>
      <c r="C158" s="1">
        <v>2387</v>
      </c>
      <c r="D158" s="1">
        <v>233</v>
      </c>
      <c r="E158" s="10" t="s">
        <v>78</v>
      </c>
      <c r="F158" s="10" t="s">
        <v>78</v>
      </c>
      <c r="G158" s="10" t="s">
        <v>78</v>
      </c>
      <c r="H158" s="1">
        <v>5124</v>
      </c>
      <c r="I158" s="1">
        <v>118</v>
      </c>
      <c r="J158" s="1">
        <v>5006</v>
      </c>
      <c r="K158" s="1">
        <v>3563</v>
      </c>
      <c r="L158" s="1">
        <v>3074</v>
      </c>
      <c r="M158" s="1">
        <v>5495</v>
      </c>
      <c r="N158" s="1">
        <v>369</v>
      </c>
      <c r="O158" s="7">
        <v>5126</v>
      </c>
      <c r="P158" s="7">
        <v>489</v>
      </c>
    </row>
    <row r="159" spans="1:16" x14ac:dyDescent="0.3">
      <c r="A159" s="10" t="s">
        <v>222</v>
      </c>
      <c r="B159" s="1">
        <v>2344</v>
      </c>
      <c r="C159" s="1">
        <v>2384</v>
      </c>
      <c r="D159" s="1">
        <v>271</v>
      </c>
      <c r="E159" s="10" t="s">
        <v>78</v>
      </c>
      <c r="F159" s="10" t="s">
        <v>78</v>
      </c>
      <c r="G159" s="10" t="s">
        <v>78</v>
      </c>
      <c r="H159" s="1">
        <v>4999</v>
      </c>
      <c r="I159" s="1">
        <v>102</v>
      </c>
      <c r="J159" s="1">
        <v>4897</v>
      </c>
      <c r="K159" s="1">
        <v>3721</v>
      </c>
      <c r="L159" s="1">
        <v>2850</v>
      </c>
      <c r="M159" s="1">
        <v>5768</v>
      </c>
      <c r="N159" s="1">
        <v>365</v>
      </c>
      <c r="O159" s="7">
        <v>5403</v>
      </c>
      <c r="P159" s="7">
        <v>871</v>
      </c>
    </row>
    <row r="160" spans="1:16" x14ac:dyDescent="0.3">
      <c r="A160" s="10" t="s">
        <v>223</v>
      </c>
      <c r="B160" s="1">
        <v>1897</v>
      </c>
      <c r="C160" s="1">
        <v>2143</v>
      </c>
      <c r="D160" s="1">
        <v>249</v>
      </c>
      <c r="E160" s="10" t="s">
        <v>78</v>
      </c>
      <c r="F160" s="10" t="s">
        <v>78</v>
      </c>
      <c r="G160" s="10" t="s">
        <v>78</v>
      </c>
      <c r="H160" s="1">
        <v>4289</v>
      </c>
      <c r="I160" s="1">
        <v>84</v>
      </c>
      <c r="J160" s="1">
        <v>4205</v>
      </c>
      <c r="K160" s="1">
        <v>3231</v>
      </c>
      <c r="L160" s="1">
        <v>2486</v>
      </c>
      <c r="M160" s="1">
        <v>4950</v>
      </c>
      <c r="N160" s="1">
        <v>348</v>
      </c>
      <c r="O160" s="7">
        <v>4602</v>
      </c>
      <c r="P160" s="7">
        <v>745</v>
      </c>
    </row>
    <row r="161" spans="1:16" x14ac:dyDescent="0.3">
      <c r="A161" s="10" t="s">
        <v>224</v>
      </c>
      <c r="B161" s="1">
        <v>2223</v>
      </c>
      <c r="C161" s="1">
        <v>2377</v>
      </c>
      <c r="D161" s="1">
        <v>251</v>
      </c>
      <c r="E161" s="10" t="s">
        <v>78</v>
      </c>
      <c r="F161" s="10" t="s">
        <v>78</v>
      </c>
      <c r="G161" s="10" t="s">
        <v>78</v>
      </c>
      <c r="H161" s="1">
        <v>4851</v>
      </c>
      <c r="I161" s="1">
        <v>117</v>
      </c>
      <c r="J161" s="1">
        <v>4734</v>
      </c>
      <c r="K161" s="1">
        <v>2886</v>
      </c>
      <c r="L161" s="1">
        <v>2530</v>
      </c>
      <c r="M161" s="1">
        <v>5090</v>
      </c>
      <c r="N161" s="1">
        <v>348</v>
      </c>
      <c r="O161" s="7">
        <v>4742</v>
      </c>
      <c r="P161" s="7">
        <v>356</v>
      </c>
    </row>
    <row r="162" spans="1:16" x14ac:dyDescent="0.3">
      <c r="A162" s="10" t="s">
        <v>225</v>
      </c>
      <c r="B162" s="1">
        <v>2328</v>
      </c>
      <c r="C162" s="1">
        <v>2233</v>
      </c>
      <c r="D162" s="1">
        <v>232</v>
      </c>
      <c r="E162" s="10" t="s">
        <v>78</v>
      </c>
      <c r="F162" s="10" t="s">
        <v>78</v>
      </c>
      <c r="G162" s="10" t="s">
        <v>78</v>
      </c>
      <c r="H162" s="1">
        <v>4793</v>
      </c>
      <c r="I162" s="1">
        <v>126</v>
      </c>
      <c r="J162" s="1">
        <v>4667</v>
      </c>
      <c r="K162" s="1">
        <v>2625</v>
      </c>
      <c r="L162" s="1">
        <v>2568</v>
      </c>
      <c r="M162" s="1">
        <v>4724</v>
      </c>
      <c r="N162" s="1">
        <v>357</v>
      </c>
      <c r="O162" s="7">
        <v>4367</v>
      </c>
      <c r="P162" s="7">
        <v>57</v>
      </c>
    </row>
    <row r="163" spans="1:16" x14ac:dyDescent="0.3">
      <c r="A163" s="10" t="s">
        <v>226</v>
      </c>
      <c r="B163" s="1">
        <v>3486</v>
      </c>
      <c r="C163" s="1">
        <v>2256</v>
      </c>
      <c r="D163" s="1">
        <v>227</v>
      </c>
      <c r="E163" s="10" t="s">
        <v>78</v>
      </c>
      <c r="F163" s="10" t="s">
        <v>78</v>
      </c>
      <c r="G163" s="10" t="s">
        <v>78</v>
      </c>
      <c r="H163" s="1">
        <v>5969</v>
      </c>
      <c r="I163" s="1">
        <v>214</v>
      </c>
      <c r="J163" s="1">
        <v>5755</v>
      </c>
      <c r="K163" s="1">
        <v>1743</v>
      </c>
      <c r="L163" s="1">
        <v>2943</v>
      </c>
      <c r="M163" s="1">
        <v>4555</v>
      </c>
      <c r="N163" s="1">
        <v>324</v>
      </c>
      <c r="O163" s="7">
        <v>4231</v>
      </c>
      <c r="P163" s="7">
        <v>-1200</v>
      </c>
    </row>
    <row r="164" spans="1:16" x14ac:dyDescent="0.3">
      <c r="A164" s="10" t="s">
        <v>227</v>
      </c>
      <c r="B164" s="1">
        <v>4290</v>
      </c>
      <c r="C164" s="1">
        <v>1658</v>
      </c>
      <c r="D164" s="1">
        <v>215</v>
      </c>
      <c r="E164" s="10" t="s">
        <v>78</v>
      </c>
      <c r="F164" s="10" t="s">
        <v>78</v>
      </c>
      <c r="G164" s="10" t="s">
        <v>78</v>
      </c>
      <c r="H164" s="1">
        <v>6163</v>
      </c>
      <c r="I164" s="1">
        <v>359</v>
      </c>
      <c r="J164" s="1">
        <v>5804</v>
      </c>
      <c r="K164" s="1">
        <v>1404</v>
      </c>
      <c r="L164" s="1">
        <v>2837</v>
      </c>
      <c r="M164" s="1">
        <v>4371</v>
      </c>
      <c r="N164" s="1">
        <v>291</v>
      </c>
      <c r="O164" s="7">
        <v>4080</v>
      </c>
      <c r="P164" s="7">
        <v>-1433</v>
      </c>
    </row>
    <row r="165" spans="1:16" x14ac:dyDescent="0.3">
      <c r="A165" s="10" t="s">
        <v>228</v>
      </c>
      <c r="B165" s="1">
        <v>4282</v>
      </c>
      <c r="C165" s="1">
        <v>1809</v>
      </c>
      <c r="D165" s="1">
        <v>217</v>
      </c>
      <c r="E165" s="10" t="s">
        <v>78</v>
      </c>
      <c r="F165" s="10" t="s">
        <v>78</v>
      </c>
      <c r="G165" s="10" t="s">
        <v>78</v>
      </c>
      <c r="H165" s="1">
        <v>6308</v>
      </c>
      <c r="I165" s="1">
        <v>310</v>
      </c>
      <c r="J165" s="1">
        <v>5998</v>
      </c>
      <c r="K165" s="1">
        <v>1605</v>
      </c>
      <c r="L165" s="1">
        <v>3282</v>
      </c>
      <c r="M165" s="1">
        <v>4321</v>
      </c>
      <c r="N165" s="1">
        <v>324</v>
      </c>
      <c r="O165" s="7">
        <v>3997</v>
      </c>
      <c r="P165" s="7">
        <v>-1677</v>
      </c>
    </row>
    <row r="166" spans="1:16" x14ac:dyDescent="0.3">
      <c r="A166" s="10" t="s">
        <v>229</v>
      </c>
      <c r="B166" s="1">
        <v>3892</v>
      </c>
      <c r="C166" s="1">
        <v>1439</v>
      </c>
      <c r="D166" s="1">
        <v>214</v>
      </c>
      <c r="E166" s="10" t="s">
        <v>78</v>
      </c>
      <c r="F166" s="10" t="s">
        <v>78</v>
      </c>
      <c r="G166" s="10" t="s">
        <v>78</v>
      </c>
      <c r="H166" s="1">
        <v>5545</v>
      </c>
      <c r="I166" s="1">
        <v>274</v>
      </c>
      <c r="J166" s="1">
        <v>5271</v>
      </c>
      <c r="K166" s="1">
        <v>1432</v>
      </c>
      <c r="L166" s="1">
        <v>2389</v>
      </c>
      <c r="M166" s="1">
        <v>4314</v>
      </c>
      <c r="N166" s="1">
        <v>318</v>
      </c>
      <c r="O166" s="7">
        <v>3996</v>
      </c>
      <c r="P166" s="7">
        <v>-957</v>
      </c>
    </row>
    <row r="167" spans="1:16" x14ac:dyDescent="0.3">
      <c r="A167" s="10" t="s">
        <v>230</v>
      </c>
      <c r="B167" s="1">
        <v>3136</v>
      </c>
      <c r="C167" s="1">
        <v>2277</v>
      </c>
      <c r="D167" s="1">
        <v>186</v>
      </c>
      <c r="E167" s="10" t="s">
        <v>78</v>
      </c>
      <c r="F167" s="10" t="s">
        <v>78</v>
      </c>
      <c r="G167" s="10" t="s">
        <v>78</v>
      </c>
      <c r="H167" s="1">
        <v>5599</v>
      </c>
      <c r="I167" s="1">
        <v>271</v>
      </c>
      <c r="J167" s="1">
        <v>5328</v>
      </c>
      <c r="K167" s="1">
        <v>1919</v>
      </c>
      <c r="L167" s="1">
        <v>2711</v>
      </c>
      <c r="M167" s="1">
        <v>4536</v>
      </c>
      <c r="N167" s="1">
        <v>316</v>
      </c>
      <c r="O167" s="7">
        <v>4220</v>
      </c>
      <c r="P167" s="7">
        <v>-792</v>
      </c>
    </row>
    <row r="168" spans="1:16" x14ac:dyDescent="0.3">
      <c r="A168" s="10" t="s">
        <v>231</v>
      </c>
      <c r="B168" s="1">
        <v>2478</v>
      </c>
      <c r="C168" s="1">
        <v>2394</v>
      </c>
      <c r="D168" s="1">
        <v>231</v>
      </c>
      <c r="E168" s="10" t="s">
        <v>78</v>
      </c>
      <c r="F168" s="10" t="s">
        <v>78</v>
      </c>
      <c r="G168" s="10" t="s">
        <v>78</v>
      </c>
      <c r="H168" s="1">
        <v>5103</v>
      </c>
      <c r="I168" s="1">
        <v>180</v>
      </c>
      <c r="J168" s="1">
        <v>4923</v>
      </c>
      <c r="K168" s="1">
        <v>2641</v>
      </c>
      <c r="L168" s="1">
        <v>2573</v>
      </c>
      <c r="M168" s="1">
        <v>4991</v>
      </c>
      <c r="N168" s="1">
        <v>362</v>
      </c>
      <c r="O168" s="7">
        <v>4629</v>
      </c>
      <c r="P168" s="7">
        <v>68</v>
      </c>
    </row>
    <row r="169" spans="1:16" x14ac:dyDescent="0.3">
      <c r="A169" s="10" t="s">
        <v>232</v>
      </c>
      <c r="B169" s="1">
        <v>3199</v>
      </c>
      <c r="C169" s="1">
        <v>2309</v>
      </c>
      <c r="D169" s="1">
        <v>250</v>
      </c>
      <c r="E169" s="10" t="s">
        <v>78</v>
      </c>
      <c r="F169" s="10" t="s">
        <v>78</v>
      </c>
      <c r="G169" s="10" t="s">
        <v>78</v>
      </c>
      <c r="H169" s="1">
        <v>5758</v>
      </c>
      <c r="I169" s="1">
        <v>184</v>
      </c>
      <c r="J169" s="1">
        <v>5574</v>
      </c>
      <c r="K169" s="1">
        <v>1944</v>
      </c>
      <c r="L169" s="1">
        <v>2400</v>
      </c>
      <c r="M169" s="1">
        <v>5118</v>
      </c>
      <c r="N169" s="1">
        <v>344</v>
      </c>
      <c r="O169" s="7">
        <v>4774</v>
      </c>
      <c r="P169" s="7">
        <v>-456</v>
      </c>
    </row>
    <row r="170" spans="1:16" x14ac:dyDescent="0.3">
      <c r="A170" s="10" t="s">
        <v>233</v>
      </c>
      <c r="B170" s="1">
        <v>2958</v>
      </c>
      <c r="C170" s="1">
        <v>2413</v>
      </c>
      <c r="D170" s="1">
        <v>263</v>
      </c>
      <c r="E170" s="10" t="s">
        <v>78</v>
      </c>
      <c r="F170" s="10" t="s">
        <v>78</v>
      </c>
      <c r="G170" s="10" t="s">
        <v>78</v>
      </c>
      <c r="H170" s="1">
        <v>5634</v>
      </c>
      <c r="I170" s="1">
        <v>197</v>
      </c>
      <c r="J170" s="1">
        <v>5437</v>
      </c>
      <c r="K170" s="1">
        <v>2649</v>
      </c>
      <c r="L170" s="1">
        <v>2739</v>
      </c>
      <c r="M170" s="1">
        <v>5347</v>
      </c>
      <c r="N170" s="1">
        <v>359</v>
      </c>
      <c r="O170" s="7">
        <v>4988</v>
      </c>
      <c r="P170" s="7">
        <v>-90</v>
      </c>
    </row>
    <row r="171" spans="1:16" x14ac:dyDescent="0.3">
      <c r="A171" s="10" t="s">
        <v>234</v>
      </c>
      <c r="B171" s="1">
        <v>3195</v>
      </c>
      <c r="C171" s="1">
        <v>2390</v>
      </c>
      <c r="D171" s="1">
        <v>275</v>
      </c>
      <c r="E171" s="10" t="s">
        <v>78</v>
      </c>
      <c r="F171" s="10" t="s">
        <v>78</v>
      </c>
      <c r="G171" s="10" t="s">
        <v>78</v>
      </c>
      <c r="H171" s="1">
        <v>5860</v>
      </c>
      <c r="I171" s="1">
        <v>135</v>
      </c>
      <c r="J171" s="1">
        <v>5725</v>
      </c>
      <c r="K171" s="1">
        <v>2857</v>
      </c>
      <c r="L171" s="1">
        <v>2860</v>
      </c>
      <c r="M171" s="1">
        <v>5722</v>
      </c>
      <c r="N171" s="1">
        <v>362</v>
      </c>
      <c r="O171" s="7">
        <v>5360</v>
      </c>
      <c r="P171" s="7">
        <v>-3</v>
      </c>
    </row>
    <row r="172" spans="1:16" x14ac:dyDescent="0.3">
      <c r="A172" s="10" t="s">
        <v>235</v>
      </c>
      <c r="B172" s="1">
        <v>3028</v>
      </c>
      <c r="C172" s="1">
        <v>2167</v>
      </c>
      <c r="D172" s="1">
        <v>255</v>
      </c>
      <c r="E172" s="10" t="s">
        <v>78</v>
      </c>
      <c r="F172" s="10" t="s">
        <v>78</v>
      </c>
      <c r="G172" s="10" t="s">
        <v>78</v>
      </c>
      <c r="H172" s="1">
        <v>5450</v>
      </c>
      <c r="I172" s="1">
        <v>139</v>
      </c>
      <c r="J172" s="1">
        <v>5311</v>
      </c>
      <c r="K172" s="1">
        <v>2722</v>
      </c>
      <c r="L172" s="1">
        <v>2652</v>
      </c>
      <c r="M172" s="1">
        <v>5381</v>
      </c>
      <c r="N172" s="1">
        <v>378</v>
      </c>
      <c r="O172" s="7">
        <v>5003</v>
      </c>
      <c r="P172" s="7">
        <v>70</v>
      </c>
    </row>
    <row r="173" spans="1:16" x14ac:dyDescent="0.3">
      <c r="A173" s="10" t="s">
        <v>236</v>
      </c>
      <c r="B173" s="1">
        <v>2388</v>
      </c>
      <c r="C173" s="1">
        <v>2392</v>
      </c>
      <c r="D173" s="1">
        <v>262</v>
      </c>
      <c r="E173" s="10" t="s">
        <v>78</v>
      </c>
      <c r="F173" s="10" t="s">
        <v>78</v>
      </c>
      <c r="G173" s="10" t="s">
        <v>78</v>
      </c>
      <c r="H173" s="1">
        <v>5042</v>
      </c>
      <c r="I173" s="1">
        <v>219</v>
      </c>
      <c r="J173" s="1">
        <v>4823</v>
      </c>
      <c r="K173" s="1">
        <v>3278</v>
      </c>
      <c r="L173" s="1">
        <v>2884</v>
      </c>
      <c r="M173" s="1">
        <v>5217</v>
      </c>
      <c r="N173" s="1">
        <v>357</v>
      </c>
      <c r="O173" s="7">
        <v>4860</v>
      </c>
      <c r="P173" s="7">
        <v>394</v>
      </c>
    </row>
    <row r="174" spans="1:16" x14ac:dyDescent="0.3">
      <c r="A174" s="10" t="s">
        <v>237</v>
      </c>
      <c r="B174" s="1">
        <v>2376</v>
      </c>
      <c r="C174" s="1">
        <v>2313</v>
      </c>
      <c r="D174" s="1">
        <v>245</v>
      </c>
      <c r="E174" s="10" t="s">
        <v>78</v>
      </c>
      <c r="F174" s="10" t="s">
        <v>78</v>
      </c>
      <c r="G174" s="10" t="s">
        <v>78</v>
      </c>
      <c r="H174" s="1">
        <v>4934</v>
      </c>
      <c r="I174" s="1">
        <v>204</v>
      </c>
      <c r="J174" s="1">
        <v>4730</v>
      </c>
      <c r="K174" s="1">
        <v>2881</v>
      </c>
      <c r="L174" s="1">
        <v>2882</v>
      </c>
      <c r="M174" s="1">
        <v>4729</v>
      </c>
      <c r="N174" s="1">
        <v>358</v>
      </c>
      <c r="O174" s="7">
        <v>4371</v>
      </c>
      <c r="P174" s="7">
        <v>-1</v>
      </c>
    </row>
    <row r="175" spans="1:16" x14ac:dyDescent="0.3">
      <c r="A175" s="10" t="s">
        <v>238</v>
      </c>
      <c r="B175" s="1">
        <v>3682</v>
      </c>
      <c r="C175" s="1">
        <v>2269</v>
      </c>
      <c r="D175" s="1">
        <v>227</v>
      </c>
      <c r="E175" s="10" t="s">
        <v>78</v>
      </c>
      <c r="F175" s="10" t="s">
        <v>78</v>
      </c>
      <c r="G175" s="10" t="s">
        <v>78</v>
      </c>
      <c r="H175" s="1">
        <v>6178</v>
      </c>
      <c r="I175" s="1">
        <v>306</v>
      </c>
      <c r="J175" s="1">
        <v>5872</v>
      </c>
      <c r="K175" s="1">
        <v>1545</v>
      </c>
      <c r="L175" s="1">
        <v>2958</v>
      </c>
      <c r="M175" s="1">
        <v>4459</v>
      </c>
      <c r="N175" s="1">
        <v>317</v>
      </c>
      <c r="O175" s="7">
        <v>4142</v>
      </c>
      <c r="P175" s="7">
        <v>-1413</v>
      </c>
    </row>
    <row r="176" spans="1:16" x14ac:dyDescent="0.3">
      <c r="A176" s="10" t="s">
        <v>239</v>
      </c>
      <c r="B176" s="1">
        <v>4312</v>
      </c>
      <c r="C176" s="1">
        <v>1647</v>
      </c>
      <c r="D176" s="1">
        <v>226</v>
      </c>
      <c r="E176" s="10" t="s">
        <v>78</v>
      </c>
      <c r="F176" s="10" t="s">
        <v>78</v>
      </c>
      <c r="G176" s="10" t="s">
        <v>78</v>
      </c>
      <c r="H176" s="1">
        <v>6185</v>
      </c>
      <c r="I176" s="1">
        <v>383</v>
      </c>
      <c r="J176" s="1">
        <v>5802</v>
      </c>
      <c r="K176" s="1">
        <v>1705</v>
      </c>
      <c r="L176" s="1">
        <v>3005</v>
      </c>
      <c r="M176" s="1">
        <v>4502</v>
      </c>
      <c r="N176" s="1">
        <v>300</v>
      </c>
      <c r="O176" s="7">
        <v>4202</v>
      </c>
      <c r="P176" s="7">
        <v>-1300</v>
      </c>
    </row>
    <row r="177" spans="1:16" x14ac:dyDescent="0.3">
      <c r="A177" s="10" t="s">
        <v>240</v>
      </c>
      <c r="B177" s="1">
        <v>4079</v>
      </c>
      <c r="C177" s="1">
        <v>2190</v>
      </c>
      <c r="D177" s="1">
        <v>241</v>
      </c>
      <c r="E177" s="10" t="s">
        <v>78</v>
      </c>
      <c r="F177" s="10" t="s">
        <v>78</v>
      </c>
      <c r="G177" s="10" t="s">
        <v>78</v>
      </c>
      <c r="H177" s="1">
        <v>6510</v>
      </c>
      <c r="I177" s="1">
        <v>317</v>
      </c>
      <c r="J177" s="1">
        <v>6193</v>
      </c>
      <c r="K177" s="1">
        <v>1644</v>
      </c>
      <c r="L177" s="1">
        <v>3404</v>
      </c>
      <c r="M177" s="1">
        <v>4433</v>
      </c>
      <c r="N177" s="1">
        <v>332</v>
      </c>
      <c r="O177" s="7">
        <v>4101</v>
      </c>
      <c r="P177" s="7">
        <v>-1760</v>
      </c>
    </row>
    <row r="178" spans="1:16" x14ac:dyDescent="0.3">
      <c r="A178" s="10" t="s">
        <v>241</v>
      </c>
      <c r="B178" s="1">
        <v>3986</v>
      </c>
      <c r="C178" s="1">
        <v>1193</v>
      </c>
      <c r="D178" s="1">
        <v>224</v>
      </c>
      <c r="E178" s="10" t="s">
        <v>78</v>
      </c>
      <c r="F178" s="10" t="s">
        <v>78</v>
      </c>
      <c r="G178" s="10" t="s">
        <v>78</v>
      </c>
      <c r="H178" s="1">
        <v>5403</v>
      </c>
      <c r="I178" s="1">
        <v>361</v>
      </c>
      <c r="J178" s="1">
        <v>5042</v>
      </c>
      <c r="K178" s="1">
        <v>2002</v>
      </c>
      <c r="L178" s="1">
        <v>2609</v>
      </c>
      <c r="M178" s="1">
        <v>4435</v>
      </c>
      <c r="N178" s="1">
        <v>327</v>
      </c>
      <c r="O178" s="7">
        <v>4108</v>
      </c>
      <c r="P178" s="7">
        <v>-607</v>
      </c>
    </row>
    <row r="179" spans="1:16" x14ac:dyDescent="0.3">
      <c r="A179" s="10" t="s">
        <v>242</v>
      </c>
      <c r="B179" s="1">
        <v>2632</v>
      </c>
      <c r="C179" s="1">
        <v>2251</v>
      </c>
      <c r="D179" s="1">
        <v>228</v>
      </c>
      <c r="E179" s="10" t="s">
        <v>78</v>
      </c>
      <c r="F179" s="10" t="s">
        <v>78</v>
      </c>
      <c r="G179" s="10" t="s">
        <v>78</v>
      </c>
      <c r="H179" s="1">
        <v>5111</v>
      </c>
      <c r="I179" s="1">
        <v>257</v>
      </c>
      <c r="J179" s="1">
        <v>4854</v>
      </c>
      <c r="K179" s="1">
        <v>2359</v>
      </c>
      <c r="L179" s="1">
        <v>2659</v>
      </c>
      <c r="M179" s="1">
        <v>4554</v>
      </c>
      <c r="N179" s="1">
        <v>317</v>
      </c>
      <c r="O179" s="7">
        <v>4237</v>
      </c>
      <c r="P179" s="7">
        <v>-300</v>
      </c>
    </row>
    <row r="180" spans="1:16" x14ac:dyDescent="0.3">
      <c r="A180" s="10" t="s">
        <v>243</v>
      </c>
      <c r="B180" s="1">
        <v>2605</v>
      </c>
      <c r="C180" s="1">
        <v>2400</v>
      </c>
      <c r="D180" s="1">
        <v>218</v>
      </c>
      <c r="E180" s="10" t="s">
        <v>78</v>
      </c>
      <c r="F180" s="10" t="s">
        <v>78</v>
      </c>
      <c r="G180" s="10" t="s">
        <v>78</v>
      </c>
      <c r="H180" s="1">
        <v>5223</v>
      </c>
      <c r="I180" s="1">
        <v>159</v>
      </c>
      <c r="J180" s="1">
        <v>5064</v>
      </c>
      <c r="K180" s="1">
        <v>2700</v>
      </c>
      <c r="L180" s="1">
        <v>2658</v>
      </c>
      <c r="M180" s="1">
        <v>5106</v>
      </c>
      <c r="N180" s="1">
        <v>370</v>
      </c>
      <c r="O180" s="7">
        <v>4736</v>
      </c>
      <c r="P180" s="7">
        <v>42</v>
      </c>
    </row>
    <row r="181" spans="1:16" x14ac:dyDescent="0.3">
      <c r="A181" s="10" t="s">
        <v>244</v>
      </c>
      <c r="B181" s="1">
        <v>2080</v>
      </c>
      <c r="C181" s="1">
        <v>2327</v>
      </c>
      <c r="D181" s="1">
        <v>242</v>
      </c>
      <c r="E181" s="10" t="s">
        <v>78</v>
      </c>
      <c r="F181" s="10" t="s">
        <v>78</v>
      </c>
      <c r="G181" s="10" t="s">
        <v>78</v>
      </c>
      <c r="H181" s="1">
        <v>4649</v>
      </c>
      <c r="I181" s="1">
        <v>184</v>
      </c>
      <c r="J181" s="1">
        <v>4465</v>
      </c>
      <c r="K181" s="1">
        <v>3016</v>
      </c>
      <c r="L181" s="1">
        <v>2281</v>
      </c>
      <c r="M181" s="1">
        <v>5200</v>
      </c>
      <c r="N181" s="1">
        <v>350</v>
      </c>
      <c r="O181" s="7">
        <v>4850</v>
      </c>
      <c r="P181" s="7">
        <v>735</v>
      </c>
    </row>
    <row r="182" spans="1:16" x14ac:dyDescent="0.3">
      <c r="A182" s="10" t="s">
        <v>245</v>
      </c>
      <c r="B182" s="1">
        <v>2082</v>
      </c>
      <c r="C182" s="1">
        <v>2392</v>
      </c>
      <c r="D182" s="1">
        <v>247</v>
      </c>
      <c r="E182" s="10" t="s">
        <v>78</v>
      </c>
      <c r="F182" s="10" t="s">
        <v>78</v>
      </c>
      <c r="G182" s="10" t="s">
        <v>78</v>
      </c>
      <c r="H182" s="1">
        <v>4721</v>
      </c>
      <c r="I182" s="1">
        <v>229</v>
      </c>
      <c r="J182" s="1">
        <v>4492</v>
      </c>
      <c r="K182" s="1">
        <v>3375</v>
      </c>
      <c r="L182" s="1">
        <v>2344</v>
      </c>
      <c r="M182" s="1">
        <v>5523</v>
      </c>
      <c r="N182" s="1">
        <v>371</v>
      </c>
      <c r="O182" s="7">
        <v>5152</v>
      </c>
      <c r="P182" s="7">
        <v>1031</v>
      </c>
    </row>
    <row r="183" spans="1:16" x14ac:dyDescent="0.3">
      <c r="A183" s="10" t="s">
        <v>246</v>
      </c>
      <c r="B183" s="1">
        <v>2426</v>
      </c>
      <c r="C183" s="1">
        <v>2413</v>
      </c>
      <c r="D183" s="1">
        <v>270</v>
      </c>
      <c r="E183" s="10" t="s">
        <v>78</v>
      </c>
      <c r="F183" s="10" t="s">
        <v>78</v>
      </c>
      <c r="G183" s="10" t="s">
        <v>78</v>
      </c>
      <c r="H183" s="1">
        <v>5109</v>
      </c>
      <c r="I183" s="1">
        <v>122</v>
      </c>
      <c r="J183" s="1">
        <v>4987</v>
      </c>
      <c r="K183" s="1">
        <v>3248</v>
      </c>
      <c r="L183" s="1">
        <v>2462</v>
      </c>
      <c r="M183" s="1">
        <v>5773</v>
      </c>
      <c r="N183" s="1">
        <v>365</v>
      </c>
      <c r="O183" s="7">
        <v>5408</v>
      </c>
      <c r="P183" s="7">
        <v>786</v>
      </c>
    </row>
    <row r="184" spans="1:16" x14ac:dyDescent="0.3">
      <c r="A184" s="10" t="s">
        <v>247</v>
      </c>
      <c r="B184" s="1">
        <v>2102</v>
      </c>
      <c r="C184" s="1">
        <v>2252</v>
      </c>
      <c r="D184" s="1">
        <v>261</v>
      </c>
      <c r="E184" s="10" t="s">
        <v>78</v>
      </c>
      <c r="F184" s="10" t="s">
        <v>78</v>
      </c>
      <c r="G184" s="10" t="s">
        <v>78</v>
      </c>
      <c r="H184" s="1">
        <v>4615</v>
      </c>
      <c r="I184" s="1">
        <v>90</v>
      </c>
      <c r="J184" s="1">
        <v>4525</v>
      </c>
      <c r="K184" s="1">
        <v>2983</v>
      </c>
      <c r="L184" s="1">
        <v>2175</v>
      </c>
      <c r="M184" s="1">
        <v>5333</v>
      </c>
      <c r="N184" s="1">
        <v>375</v>
      </c>
      <c r="O184" s="7">
        <v>4958</v>
      </c>
      <c r="P184" s="7">
        <v>808</v>
      </c>
    </row>
    <row r="185" spans="1:16" x14ac:dyDescent="0.3">
      <c r="A185" s="10" t="s">
        <v>248</v>
      </c>
      <c r="B185" s="1">
        <v>2585</v>
      </c>
      <c r="C185" s="1">
        <v>2401</v>
      </c>
      <c r="D185" s="1">
        <v>269</v>
      </c>
      <c r="E185" s="10" t="s">
        <v>78</v>
      </c>
      <c r="F185" s="10" t="s">
        <v>78</v>
      </c>
      <c r="G185" s="10" t="s">
        <v>78</v>
      </c>
      <c r="H185" s="1">
        <v>5255</v>
      </c>
      <c r="I185" s="1">
        <v>69</v>
      </c>
      <c r="J185" s="1">
        <v>5186</v>
      </c>
      <c r="K185" s="1">
        <v>2661</v>
      </c>
      <c r="L185" s="1">
        <v>2307</v>
      </c>
      <c r="M185" s="1">
        <v>5540</v>
      </c>
      <c r="N185" s="1">
        <v>379</v>
      </c>
      <c r="O185" s="7">
        <v>5161</v>
      </c>
      <c r="P185" s="7">
        <v>354</v>
      </c>
    </row>
    <row r="186" spans="1:16" x14ac:dyDescent="0.3">
      <c r="A186" s="10" t="s">
        <v>249</v>
      </c>
      <c r="B186" s="1">
        <v>2093</v>
      </c>
      <c r="C186" s="1">
        <v>2316</v>
      </c>
      <c r="D186" s="1">
        <v>236</v>
      </c>
      <c r="E186" s="10" t="s">
        <v>78</v>
      </c>
      <c r="F186" s="10" t="s">
        <v>78</v>
      </c>
      <c r="G186" s="10" t="s">
        <v>78</v>
      </c>
      <c r="H186" s="1">
        <v>4645</v>
      </c>
      <c r="I186" s="1">
        <v>120</v>
      </c>
      <c r="J186" s="1">
        <v>4525</v>
      </c>
      <c r="K186" s="1">
        <v>2283</v>
      </c>
      <c r="L186" s="1">
        <v>2032</v>
      </c>
      <c r="M186" s="1">
        <v>4776</v>
      </c>
      <c r="N186" s="1">
        <v>362</v>
      </c>
      <c r="O186" s="7">
        <v>4414</v>
      </c>
      <c r="P186" s="7">
        <v>251</v>
      </c>
    </row>
    <row r="187" spans="1:16" x14ac:dyDescent="0.3">
      <c r="A187" s="10" t="s">
        <v>250</v>
      </c>
      <c r="B187" s="1">
        <v>3126</v>
      </c>
      <c r="C187" s="1">
        <v>2249</v>
      </c>
      <c r="D187" s="1">
        <v>237</v>
      </c>
      <c r="E187" s="10" t="s">
        <v>78</v>
      </c>
      <c r="F187" s="10" t="s">
        <v>78</v>
      </c>
      <c r="G187" s="10" t="s">
        <v>78</v>
      </c>
      <c r="H187" s="1">
        <v>5612</v>
      </c>
      <c r="I187" s="1">
        <v>246</v>
      </c>
      <c r="J187" s="1">
        <v>5366</v>
      </c>
      <c r="K187" s="1">
        <v>1541</v>
      </c>
      <c r="L187" s="1">
        <v>2261</v>
      </c>
      <c r="M187" s="1">
        <v>4646</v>
      </c>
      <c r="N187" s="1">
        <v>330</v>
      </c>
      <c r="O187" s="7">
        <v>4316</v>
      </c>
      <c r="P187" s="7">
        <v>-720</v>
      </c>
    </row>
    <row r="188" spans="1:16" x14ac:dyDescent="0.3">
      <c r="A188" s="10" t="s">
        <v>251</v>
      </c>
      <c r="B188" s="1">
        <v>4034</v>
      </c>
      <c r="C188" s="1">
        <v>1554</v>
      </c>
      <c r="D188" s="1">
        <v>238</v>
      </c>
      <c r="E188" s="10" t="s">
        <v>78</v>
      </c>
      <c r="F188" s="10" t="s">
        <v>78</v>
      </c>
      <c r="G188" s="10" t="s">
        <v>78</v>
      </c>
      <c r="H188" s="1">
        <v>5826</v>
      </c>
      <c r="I188" s="1">
        <v>308</v>
      </c>
      <c r="J188" s="1">
        <v>5518</v>
      </c>
      <c r="K188" s="1">
        <v>1334</v>
      </c>
      <c r="L188" s="1">
        <v>2318</v>
      </c>
      <c r="M188" s="1">
        <v>4534</v>
      </c>
      <c r="N188" s="1">
        <v>302</v>
      </c>
      <c r="O188" s="7">
        <v>4232</v>
      </c>
      <c r="P188" s="7">
        <v>-984</v>
      </c>
    </row>
    <row r="189" spans="1:16" x14ac:dyDescent="0.3">
      <c r="A189" s="10" t="s">
        <v>252</v>
      </c>
      <c r="B189" s="1">
        <v>4003</v>
      </c>
      <c r="C189" s="1">
        <v>2212</v>
      </c>
      <c r="D189" s="1">
        <v>235</v>
      </c>
      <c r="E189" s="10" t="s">
        <v>78</v>
      </c>
      <c r="F189" s="10" t="s">
        <v>78</v>
      </c>
      <c r="G189" s="10" t="s">
        <v>78</v>
      </c>
      <c r="H189" s="1">
        <v>6450</v>
      </c>
      <c r="I189" s="1">
        <v>363</v>
      </c>
      <c r="J189" s="1">
        <v>6087</v>
      </c>
      <c r="K189" s="1">
        <v>1184</v>
      </c>
      <c r="L189" s="1">
        <v>2825</v>
      </c>
      <c r="M189" s="1">
        <v>4446</v>
      </c>
      <c r="N189" s="1">
        <v>333</v>
      </c>
      <c r="O189" s="7">
        <v>4113</v>
      </c>
      <c r="P189" s="7">
        <v>-1641</v>
      </c>
    </row>
    <row r="190" spans="1:16" x14ac:dyDescent="0.3">
      <c r="A190" s="10" t="s">
        <v>253</v>
      </c>
      <c r="B190" s="1">
        <v>3753</v>
      </c>
      <c r="C190" s="1">
        <v>1331</v>
      </c>
      <c r="D190" s="1">
        <v>224</v>
      </c>
      <c r="E190" s="10" t="s">
        <v>78</v>
      </c>
      <c r="F190" s="10" t="s">
        <v>78</v>
      </c>
      <c r="G190" s="10" t="s">
        <v>78</v>
      </c>
      <c r="H190" s="1">
        <v>5308</v>
      </c>
      <c r="I190" s="1">
        <v>338</v>
      </c>
      <c r="J190" s="1">
        <v>4970</v>
      </c>
      <c r="K190" s="1">
        <v>1578</v>
      </c>
      <c r="L190" s="1">
        <v>2038</v>
      </c>
      <c r="M190" s="1">
        <v>4510</v>
      </c>
      <c r="N190" s="1">
        <v>332</v>
      </c>
      <c r="O190" s="7">
        <v>4178</v>
      </c>
      <c r="P190" s="7">
        <v>-460</v>
      </c>
    </row>
    <row r="191" spans="1:16" x14ac:dyDescent="0.3">
      <c r="A191" s="10" t="s">
        <v>254</v>
      </c>
      <c r="B191" s="1">
        <v>3167</v>
      </c>
      <c r="C191" s="1">
        <v>1652</v>
      </c>
      <c r="D191" s="1">
        <v>235</v>
      </c>
      <c r="E191" s="10" t="s">
        <v>78</v>
      </c>
      <c r="F191" s="10" t="s">
        <v>78</v>
      </c>
      <c r="G191" s="10" t="s">
        <v>78</v>
      </c>
      <c r="H191" s="1">
        <v>5054</v>
      </c>
      <c r="I191" s="1">
        <v>235</v>
      </c>
      <c r="J191" s="1">
        <v>4819</v>
      </c>
      <c r="K191" s="1">
        <v>2164</v>
      </c>
      <c r="L191" s="1">
        <v>2338</v>
      </c>
      <c r="M191" s="1">
        <v>4645</v>
      </c>
      <c r="N191" s="1">
        <v>323</v>
      </c>
      <c r="O191" s="7">
        <v>4322</v>
      </c>
      <c r="P191" s="7">
        <v>-174</v>
      </c>
    </row>
    <row r="192" spans="1:16" x14ac:dyDescent="0.3">
      <c r="A192" s="10" t="s">
        <v>255</v>
      </c>
      <c r="B192" s="1">
        <v>2622</v>
      </c>
      <c r="C192" s="1">
        <v>2311</v>
      </c>
      <c r="D192" s="1">
        <v>244</v>
      </c>
      <c r="E192" s="10" t="s">
        <v>78</v>
      </c>
      <c r="F192" s="10" t="s">
        <v>78</v>
      </c>
      <c r="G192" s="10" t="s">
        <v>78</v>
      </c>
      <c r="H192" s="1">
        <v>5177</v>
      </c>
      <c r="I192" s="1">
        <v>216</v>
      </c>
      <c r="J192" s="1">
        <v>4961</v>
      </c>
      <c r="K192" s="1">
        <v>2295</v>
      </c>
      <c r="L192" s="1">
        <v>2232</v>
      </c>
      <c r="M192" s="1">
        <v>5024</v>
      </c>
      <c r="N192" s="1">
        <v>364</v>
      </c>
      <c r="O192" s="7">
        <v>4660</v>
      </c>
      <c r="P192" s="7">
        <v>63</v>
      </c>
    </row>
    <row r="193" spans="1:16" x14ac:dyDescent="0.3">
      <c r="A193" s="10" t="s">
        <v>256</v>
      </c>
      <c r="B193" s="1">
        <v>2751</v>
      </c>
      <c r="C193" s="1">
        <v>2329</v>
      </c>
      <c r="D193" s="1">
        <v>250</v>
      </c>
      <c r="E193" s="10" t="s">
        <v>78</v>
      </c>
      <c r="F193" s="10" t="s">
        <v>78</v>
      </c>
      <c r="G193" s="10" t="s">
        <v>78</v>
      </c>
      <c r="H193" s="1">
        <v>5330</v>
      </c>
      <c r="I193" s="1">
        <v>158</v>
      </c>
      <c r="J193" s="1">
        <v>5172</v>
      </c>
      <c r="K193" s="1">
        <v>2681</v>
      </c>
      <c r="L193" s="1">
        <v>2470</v>
      </c>
      <c r="M193" s="1">
        <v>5383</v>
      </c>
      <c r="N193" s="1">
        <v>363</v>
      </c>
      <c r="O193" s="7">
        <v>5020</v>
      </c>
      <c r="P193" s="7">
        <v>211</v>
      </c>
    </row>
    <row r="194" spans="1:16" x14ac:dyDescent="0.3">
      <c r="A194" s="10" t="s">
        <v>257</v>
      </c>
      <c r="B194" s="1">
        <v>2455</v>
      </c>
      <c r="C194" s="1">
        <v>2412</v>
      </c>
      <c r="D194" s="1">
        <v>275</v>
      </c>
      <c r="E194" s="10" t="s">
        <v>78</v>
      </c>
      <c r="F194" s="10" t="s">
        <v>78</v>
      </c>
      <c r="G194" s="10" t="s">
        <v>78</v>
      </c>
      <c r="H194" s="1">
        <v>5142</v>
      </c>
      <c r="I194" s="1">
        <v>168</v>
      </c>
      <c r="J194" s="1">
        <v>4974</v>
      </c>
      <c r="K194" s="1">
        <v>3104</v>
      </c>
      <c r="L194" s="1">
        <v>2301</v>
      </c>
      <c r="M194" s="1">
        <v>5777</v>
      </c>
      <c r="N194" s="1">
        <v>388</v>
      </c>
      <c r="O194" s="7">
        <v>5389</v>
      </c>
      <c r="P194" s="7">
        <v>803</v>
      </c>
    </row>
    <row r="195" spans="1:16" x14ac:dyDescent="0.3">
      <c r="A195" s="10" t="s">
        <v>258</v>
      </c>
      <c r="B195" s="1">
        <v>2370</v>
      </c>
      <c r="C195" s="1">
        <v>2414</v>
      </c>
      <c r="D195" s="1">
        <v>283</v>
      </c>
      <c r="E195" s="10" t="s">
        <v>78</v>
      </c>
      <c r="F195" s="10" t="s">
        <v>78</v>
      </c>
      <c r="G195" s="10" t="s">
        <v>78</v>
      </c>
      <c r="H195" s="1">
        <v>5067</v>
      </c>
      <c r="I195" s="1">
        <v>69</v>
      </c>
      <c r="J195" s="1">
        <v>4998</v>
      </c>
      <c r="K195" s="1">
        <v>3644</v>
      </c>
      <c r="L195" s="1">
        <v>2730</v>
      </c>
      <c r="M195" s="1">
        <v>5912</v>
      </c>
      <c r="N195" s="1">
        <v>374</v>
      </c>
      <c r="O195" s="7">
        <v>5538</v>
      </c>
      <c r="P195" s="7">
        <v>914</v>
      </c>
    </row>
    <row r="196" spans="1:16" x14ac:dyDescent="0.3">
      <c r="A196" s="10" t="s">
        <v>259</v>
      </c>
      <c r="B196" s="1">
        <v>2753</v>
      </c>
      <c r="C196" s="1">
        <v>2179</v>
      </c>
      <c r="D196" s="1">
        <v>277</v>
      </c>
      <c r="E196" s="10" t="s">
        <v>78</v>
      </c>
      <c r="F196" s="10" t="s">
        <v>78</v>
      </c>
      <c r="G196" s="10" t="s">
        <v>78</v>
      </c>
      <c r="H196" s="1">
        <v>5209</v>
      </c>
      <c r="I196" s="1">
        <v>53</v>
      </c>
      <c r="J196" s="1">
        <v>5156</v>
      </c>
      <c r="K196" s="1">
        <v>3361</v>
      </c>
      <c r="L196" s="1">
        <v>2987</v>
      </c>
      <c r="M196" s="1">
        <v>5530</v>
      </c>
      <c r="N196" s="1">
        <v>389</v>
      </c>
      <c r="O196" s="7">
        <v>5141</v>
      </c>
      <c r="P196" s="7">
        <v>374</v>
      </c>
    </row>
    <row r="197" spans="1:16" x14ac:dyDescent="0.3">
      <c r="A197" s="10" t="s">
        <v>260</v>
      </c>
      <c r="B197" s="1">
        <v>2606</v>
      </c>
      <c r="C197" s="1">
        <v>2292</v>
      </c>
      <c r="D197" s="1">
        <v>261</v>
      </c>
      <c r="E197" s="10" t="s">
        <v>78</v>
      </c>
      <c r="F197" s="10" t="s">
        <v>78</v>
      </c>
      <c r="G197" s="10" t="s">
        <v>78</v>
      </c>
      <c r="H197" s="1">
        <v>5159</v>
      </c>
      <c r="I197" s="1">
        <v>145</v>
      </c>
      <c r="J197" s="1">
        <v>5014</v>
      </c>
      <c r="K197" s="1">
        <v>3447</v>
      </c>
      <c r="L197" s="1">
        <v>2954</v>
      </c>
      <c r="M197" s="1">
        <v>5507</v>
      </c>
      <c r="N197" s="1">
        <v>377</v>
      </c>
      <c r="O197" s="7">
        <v>5130</v>
      </c>
      <c r="P197" s="7">
        <v>493</v>
      </c>
    </row>
    <row r="198" spans="1:16" x14ac:dyDescent="0.3">
      <c r="A198" s="10" t="s">
        <v>261</v>
      </c>
      <c r="B198" s="1">
        <v>2506</v>
      </c>
      <c r="C198" s="1">
        <v>1480</v>
      </c>
      <c r="D198" s="1">
        <v>243</v>
      </c>
      <c r="E198" s="10" t="s">
        <v>78</v>
      </c>
      <c r="F198" s="10" t="s">
        <v>78</v>
      </c>
      <c r="G198" s="10" t="s">
        <v>78</v>
      </c>
      <c r="H198" s="1">
        <v>4229</v>
      </c>
      <c r="I198" s="1">
        <v>150</v>
      </c>
      <c r="J198" s="1">
        <v>4079</v>
      </c>
      <c r="K198" s="1">
        <v>3620</v>
      </c>
      <c r="L198" s="1">
        <v>2756</v>
      </c>
      <c r="M198" s="1">
        <v>4943</v>
      </c>
      <c r="N198" s="1">
        <v>375</v>
      </c>
      <c r="O198" s="7">
        <v>4568</v>
      </c>
      <c r="P198" s="7">
        <v>864</v>
      </c>
    </row>
    <row r="199" spans="1:16" x14ac:dyDescent="0.3">
      <c r="A199" s="10" t="s">
        <v>262</v>
      </c>
      <c r="B199" s="1">
        <v>3242</v>
      </c>
      <c r="C199" s="1">
        <v>1246</v>
      </c>
      <c r="D199" s="1">
        <v>247</v>
      </c>
      <c r="E199" s="10" t="s">
        <v>78</v>
      </c>
      <c r="F199" s="10" t="s">
        <v>78</v>
      </c>
      <c r="G199" s="10" t="s">
        <v>78</v>
      </c>
      <c r="H199" s="1">
        <v>4735</v>
      </c>
      <c r="I199" s="1">
        <v>258</v>
      </c>
      <c r="J199" s="1">
        <v>4477</v>
      </c>
      <c r="K199" s="1">
        <v>2930</v>
      </c>
      <c r="L199" s="1">
        <v>2724</v>
      </c>
      <c r="M199" s="1">
        <v>4683</v>
      </c>
      <c r="N199" s="1">
        <v>333</v>
      </c>
      <c r="O199" s="7">
        <v>4350</v>
      </c>
      <c r="P199" s="7">
        <v>206</v>
      </c>
    </row>
    <row r="200" spans="1:16" x14ac:dyDescent="0.3">
      <c r="A200" s="10" t="s">
        <v>263</v>
      </c>
      <c r="B200" s="1">
        <v>3751</v>
      </c>
      <c r="C200" s="1">
        <v>754</v>
      </c>
      <c r="D200" s="1">
        <v>246</v>
      </c>
      <c r="E200" s="10" t="s">
        <v>78</v>
      </c>
      <c r="F200" s="10" t="s">
        <v>78</v>
      </c>
      <c r="G200" s="10" t="s">
        <v>78</v>
      </c>
      <c r="H200" s="1">
        <v>4751</v>
      </c>
      <c r="I200" s="1">
        <v>329</v>
      </c>
      <c r="J200" s="1">
        <v>4422</v>
      </c>
      <c r="K200" s="1">
        <v>2797</v>
      </c>
      <c r="L200" s="1">
        <v>2572</v>
      </c>
      <c r="M200" s="1">
        <v>4647</v>
      </c>
      <c r="N200" s="1">
        <v>310</v>
      </c>
      <c r="O200" s="7">
        <v>4337</v>
      </c>
      <c r="P200" s="7">
        <v>225</v>
      </c>
    </row>
    <row r="201" spans="1:16" x14ac:dyDescent="0.3">
      <c r="A201" s="10" t="s">
        <v>264</v>
      </c>
      <c r="B201" s="1">
        <v>3339</v>
      </c>
      <c r="C201" s="1">
        <v>1334</v>
      </c>
      <c r="D201" s="1">
        <v>256</v>
      </c>
      <c r="E201" s="10" t="s">
        <v>78</v>
      </c>
      <c r="F201" s="10" t="s">
        <v>78</v>
      </c>
      <c r="G201" s="10" t="s">
        <v>78</v>
      </c>
      <c r="H201" s="1">
        <v>4929</v>
      </c>
      <c r="I201" s="1">
        <v>401</v>
      </c>
      <c r="J201" s="1">
        <v>4528</v>
      </c>
      <c r="K201" s="1">
        <v>2888</v>
      </c>
      <c r="L201" s="1">
        <v>2854</v>
      </c>
      <c r="M201" s="1">
        <v>4562</v>
      </c>
      <c r="N201" s="1">
        <v>342</v>
      </c>
      <c r="O201" s="7">
        <v>4220</v>
      </c>
      <c r="P201" s="7">
        <v>34</v>
      </c>
    </row>
    <row r="202" spans="1:16" x14ac:dyDescent="0.3">
      <c r="A202" s="10" t="s">
        <v>265</v>
      </c>
      <c r="B202" s="1">
        <v>3134</v>
      </c>
      <c r="C202" s="1">
        <v>1051</v>
      </c>
      <c r="D202" s="1">
        <v>254</v>
      </c>
      <c r="E202" s="10" t="s">
        <v>78</v>
      </c>
      <c r="F202" s="10" t="s">
        <v>78</v>
      </c>
      <c r="G202" s="10" t="s">
        <v>78</v>
      </c>
      <c r="H202" s="1">
        <v>4439</v>
      </c>
      <c r="I202" s="1">
        <v>319</v>
      </c>
      <c r="J202" s="1">
        <v>4120</v>
      </c>
      <c r="K202" s="1">
        <v>2805</v>
      </c>
      <c r="L202" s="1">
        <v>2356</v>
      </c>
      <c r="M202" s="1">
        <v>4569</v>
      </c>
      <c r="N202" s="1">
        <v>337</v>
      </c>
      <c r="O202" s="7">
        <v>4232</v>
      </c>
      <c r="P202" s="7">
        <v>449</v>
      </c>
    </row>
    <row r="203" spans="1:16" x14ac:dyDescent="0.3">
      <c r="A203" s="10" t="s">
        <v>266</v>
      </c>
      <c r="B203" s="1">
        <v>2807</v>
      </c>
      <c r="C203" s="1">
        <v>2102</v>
      </c>
      <c r="D203" s="1">
        <v>242</v>
      </c>
      <c r="E203" s="10" t="s">
        <v>78</v>
      </c>
      <c r="F203" s="10" t="s">
        <v>78</v>
      </c>
      <c r="G203" s="10" t="s">
        <v>78</v>
      </c>
      <c r="H203" s="1">
        <v>5151</v>
      </c>
      <c r="I203" s="1">
        <v>274</v>
      </c>
      <c r="J203" s="1">
        <v>4877</v>
      </c>
      <c r="K203" s="1">
        <v>2432</v>
      </c>
      <c r="L203" s="1">
        <v>2548</v>
      </c>
      <c r="M203" s="1">
        <v>4761</v>
      </c>
      <c r="N203" s="1">
        <v>331</v>
      </c>
      <c r="O203" s="7">
        <v>4430</v>
      </c>
      <c r="P203" s="7">
        <v>-116</v>
      </c>
    </row>
    <row r="204" spans="1:16" x14ac:dyDescent="0.3">
      <c r="A204" s="10" t="s">
        <v>267</v>
      </c>
      <c r="B204" s="1">
        <v>2157</v>
      </c>
      <c r="C204" s="1">
        <v>2406</v>
      </c>
      <c r="D204" s="1">
        <v>266</v>
      </c>
      <c r="E204" s="10" t="s">
        <v>78</v>
      </c>
      <c r="F204" s="10" t="s">
        <v>78</v>
      </c>
      <c r="G204" s="10" t="s">
        <v>78</v>
      </c>
      <c r="H204" s="1">
        <v>4829</v>
      </c>
      <c r="I204" s="1">
        <v>249</v>
      </c>
      <c r="J204" s="1">
        <v>4580</v>
      </c>
      <c r="K204" s="1">
        <v>3301</v>
      </c>
      <c r="L204" s="1">
        <v>2807</v>
      </c>
      <c r="M204" s="1">
        <v>5074</v>
      </c>
      <c r="N204" s="1">
        <v>368</v>
      </c>
      <c r="O204" s="7">
        <v>4706</v>
      </c>
      <c r="P204" s="7">
        <v>494</v>
      </c>
    </row>
    <row r="205" spans="1:16" x14ac:dyDescent="0.3">
      <c r="A205" s="10" t="s">
        <v>268</v>
      </c>
      <c r="B205" s="1">
        <v>2144</v>
      </c>
      <c r="C205" s="1">
        <v>2336</v>
      </c>
      <c r="D205" s="1">
        <v>265</v>
      </c>
      <c r="E205" s="10" t="s">
        <v>78</v>
      </c>
      <c r="F205" s="10" t="s">
        <v>78</v>
      </c>
      <c r="G205" s="10" t="s">
        <v>78</v>
      </c>
      <c r="H205" s="1">
        <v>4745</v>
      </c>
      <c r="I205" s="1">
        <v>176</v>
      </c>
      <c r="J205" s="1">
        <v>4569</v>
      </c>
      <c r="K205" s="1">
        <v>3353</v>
      </c>
      <c r="L205" s="1">
        <v>2470</v>
      </c>
      <c r="M205" s="1">
        <v>5452</v>
      </c>
      <c r="N205" s="1">
        <v>368</v>
      </c>
      <c r="O205" s="7">
        <v>5084</v>
      </c>
      <c r="P205" s="7">
        <v>883</v>
      </c>
    </row>
    <row r="206" spans="1:16" x14ac:dyDescent="0.3">
      <c r="A206" s="10" t="s">
        <v>269</v>
      </c>
      <c r="B206" s="1">
        <v>1950</v>
      </c>
      <c r="C206" s="1">
        <v>2426</v>
      </c>
      <c r="D206" s="1">
        <v>299</v>
      </c>
      <c r="E206" s="10" t="s">
        <v>78</v>
      </c>
      <c r="F206" s="10" t="s">
        <v>78</v>
      </c>
      <c r="G206" s="10" t="s">
        <v>78</v>
      </c>
      <c r="H206" s="1">
        <v>4675</v>
      </c>
      <c r="I206" s="1">
        <v>208</v>
      </c>
      <c r="J206" s="1">
        <v>4467</v>
      </c>
      <c r="K206" s="1">
        <v>3768</v>
      </c>
      <c r="L206" s="1">
        <v>2238</v>
      </c>
      <c r="M206" s="1">
        <v>5997</v>
      </c>
      <c r="N206" s="1">
        <v>403</v>
      </c>
      <c r="O206" s="7">
        <v>5594</v>
      </c>
      <c r="P206" s="7">
        <v>1530</v>
      </c>
    </row>
    <row r="207" spans="1:16" x14ac:dyDescent="0.3">
      <c r="A207" s="10" t="s">
        <v>270</v>
      </c>
      <c r="B207" s="1">
        <v>1974</v>
      </c>
      <c r="C207" s="1">
        <v>2424</v>
      </c>
      <c r="D207" s="1">
        <v>310</v>
      </c>
      <c r="E207" s="10" t="s">
        <v>78</v>
      </c>
      <c r="F207" s="10" t="s">
        <v>78</v>
      </c>
      <c r="G207" s="10" t="s">
        <v>78</v>
      </c>
      <c r="H207" s="1">
        <v>4708</v>
      </c>
      <c r="I207" s="1">
        <v>204</v>
      </c>
      <c r="J207" s="1">
        <v>4504</v>
      </c>
      <c r="K207" s="1">
        <v>3418</v>
      </c>
      <c r="L207" s="1">
        <v>1774</v>
      </c>
      <c r="M207" s="1">
        <v>6148</v>
      </c>
      <c r="N207" s="1">
        <v>388</v>
      </c>
      <c r="O207" s="7">
        <v>5760</v>
      </c>
      <c r="P207" s="7">
        <v>1644</v>
      </c>
    </row>
    <row r="208" spans="1:16" x14ac:dyDescent="0.3">
      <c r="A208" s="10" t="s">
        <v>271</v>
      </c>
      <c r="B208" s="1">
        <v>1971</v>
      </c>
      <c r="C208" s="1">
        <v>2186</v>
      </c>
      <c r="D208" s="1">
        <v>315</v>
      </c>
      <c r="E208" s="10" t="s">
        <v>78</v>
      </c>
      <c r="F208" s="10" t="s">
        <v>78</v>
      </c>
      <c r="G208" s="10" t="s">
        <v>78</v>
      </c>
      <c r="H208" s="1">
        <v>4472</v>
      </c>
      <c r="I208" s="1">
        <v>152</v>
      </c>
      <c r="J208" s="1">
        <v>4320</v>
      </c>
      <c r="K208" s="1">
        <v>3068</v>
      </c>
      <c r="L208" s="1">
        <v>1852</v>
      </c>
      <c r="M208" s="1">
        <v>5536</v>
      </c>
      <c r="N208" s="1">
        <v>390</v>
      </c>
      <c r="O208" s="7">
        <v>5146</v>
      </c>
      <c r="P208" s="7">
        <v>1216</v>
      </c>
    </row>
    <row r="209" spans="1:16" x14ac:dyDescent="0.3">
      <c r="A209" s="10" t="s">
        <v>272</v>
      </c>
      <c r="B209" s="1">
        <v>2152</v>
      </c>
      <c r="C209" s="1">
        <v>2417</v>
      </c>
      <c r="D209" s="1">
        <v>307</v>
      </c>
      <c r="E209" s="10" t="s">
        <v>78</v>
      </c>
      <c r="F209" s="10" t="s">
        <v>78</v>
      </c>
      <c r="G209" s="10" t="s">
        <v>78</v>
      </c>
      <c r="H209" s="1">
        <v>4876</v>
      </c>
      <c r="I209" s="1">
        <v>136</v>
      </c>
      <c r="J209" s="1">
        <v>4740</v>
      </c>
      <c r="K209" s="1">
        <v>3209</v>
      </c>
      <c r="L209" s="1">
        <v>2045</v>
      </c>
      <c r="M209" s="1">
        <v>5904</v>
      </c>
      <c r="N209" s="1">
        <v>405</v>
      </c>
      <c r="O209" s="7">
        <v>5499</v>
      </c>
      <c r="P209" s="7">
        <v>1164</v>
      </c>
    </row>
    <row r="210" spans="1:16" x14ac:dyDescent="0.3">
      <c r="A210" s="10" t="s">
        <v>273</v>
      </c>
      <c r="B210" s="1">
        <v>2202</v>
      </c>
      <c r="C210" s="1">
        <v>2331</v>
      </c>
      <c r="D210" s="1">
        <v>261</v>
      </c>
      <c r="E210" s="10" t="s">
        <v>78</v>
      </c>
      <c r="F210" s="10" t="s">
        <v>78</v>
      </c>
      <c r="G210" s="10" t="s">
        <v>78</v>
      </c>
      <c r="H210" s="1">
        <v>4794</v>
      </c>
      <c r="I210" s="1">
        <v>168</v>
      </c>
      <c r="J210" s="1">
        <v>4626</v>
      </c>
      <c r="K210" s="1">
        <v>2805</v>
      </c>
      <c r="L210" s="1">
        <v>2528</v>
      </c>
      <c r="M210" s="1">
        <v>4903</v>
      </c>
      <c r="N210" s="1">
        <v>372</v>
      </c>
      <c r="O210" s="7">
        <v>4531</v>
      </c>
      <c r="P210" s="7">
        <v>277</v>
      </c>
    </row>
    <row r="211" spans="1:16" x14ac:dyDescent="0.3">
      <c r="A211" s="10" t="s">
        <v>274</v>
      </c>
      <c r="B211" s="1">
        <v>3257</v>
      </c>
      <c r="C211" s="1">
        <v>2376</v>
      </c>
      <c r="D211" s="1">
        <v>264</v>
      </c>
      <c r="E211" s="10" t="s">
        <v>78</v>
      </c>
      <c r="F211" s="10" t="s">
        <v>78</v>
      </c>
      <c r="G211" s="10" t="s">
        <v>78</v>
      </c>
      <c r="H211" s="1">
        <v>5897</v>
      </c>
      <c r="I211" s="1">
        <v>301</v>
      </c>
      <c r="J211" s="1">
        <v>5596</v>
      </c>
      <c r="K211" s="1">
        <v>1939</v>
      </c>
      <c r="L211" s="1">
        <v>2744</v>
      </c>
      <c r="M211" s="1">
        <v>4791</v>
      </c>
      <c r="N211" s="1">
        <v>341</v>
      </c>
      <c r="O211" s="7">
        <v>4450</v>
      </c>
      <c r="P211" s="7">
        <v>-805</v>
      </c>
    </row>
    <row r="212" spans="1:16" x14ac:dyDescent="0.3">
      <c r="A212" s="10" t="s">
        <v>275</v>
      </c>
      <c r="B212" s="1">
        <v>3487</v>
      </c>
      <c r="C212" s="1">
        <v>1559</v>
      </c>
      <c r="D212" s="1">
        <v>252</v>
      </c>
      <c r="E212" s="10" t="s">
        <v>78</v>
      </c>
      <c r="F212" s="10" t="s">
        <v>78</v>
      </c>
      <c r="G212" s="10" t="s">
        <v>78</v>
      </c>
      <c r="H212" s="1">
        <v>5298</v>
      </c>
      <c r="I212" s="1">
        <v>343</v>
      </c>
      <c r="J212" s="1">
        <v>4955</v>
      </c>
      <c r="K212" s="1">
        <v>2376</v>
      </c>
      <c r="L212" s="1">
        <v>2678</v>
      </c>
      <c r="M212" s="1">
        <v>4653</v>
      </c>
      <c r="N212" s="1">
        <v>311</v>
      </c>
      <c r="O212" s="7">
        <v>4342</v>
      </c>
      <c r="P212" s="7">
        <v>-302</v>
      </c>
    </row>
    <row r="213" spans="1:16" x14ac:dyDescent="0.3">
      <c r="A213" s="10" t="s">
        <v>276</v>
      </c>
      <c r="B213" s="1">
        <v>3923</v>
      </c>
      <c r="C213" s="1">
        <v>2073</v>
      </c>
      <c r="D213" s="1">
        <v>266</v>
      </c>
      <c r="E213" s="10" t="s">
        <v>78</v>
      </c>
      <c r="F213" s="10" t="s">
        <v>78</v>
      </c>
      <c r="G213" s="10" t="s">
        <v>78</v>
      </c>
      <c r="H213" s="1">
        <v>6262</v>
      </c>
      <c r="I213" s="1">
        <v>379</v>
      </c>
      <c r="J213" s="1">
        <v>5883</v>
      </c>
      <c r="K213" s="1">
        <v>1868</v>
      </c>
      <c r="L213" s="1">
        <v>3121</v>
      </c>
      <c r="M213" s="1">
        <v>4630</v>
      </c>
      <c r="N213" s="1">
        <v>347</v>
      </c>
      <c r="O213" s="7">
        <v>4283</v>
      </c>
      <c r="P213" s="7">
        <v>-1253</v>
      </c>
    </row>
    <row r="214" spans="1:16" x14ac:dyDescent="0.3">
      <c r="A214" s="10" t="s">
        <v>277</v>
      </c>
      <c r="B214" s="1">
        <v>3095</v>
      </c>
      <c r="C214" s="1">
        <v>1510</v>
      </c>
      <c r="D214" s="1">
        <v>273</v>
      </c>
      <c r="E214" s="10" t="s">
        <v>78</v>
      </c>
      <c r="F214" s="10" t="s">
        <v>78</v>
      </c>
      <c r="G214" s="10" t="s">
        <v>78</v>
      </c>
      <c r="H214" s="1">
        <v>4878</v>
      </c>
      <c r="I214" s="1">
        <v>317</v>
      </c>
      <c r="J214" s="1">
        <v>4561</v>
      </c>
      <c r="K214" s="1">
        <v>2298</v>
      </c>
      <c r="L214" s="1">
        <v>2263</v>
      </c>
      <c r="M214" s="1">
        <v>4596</v>
      </c>
      <c r="N214" s="1">
        <v>339</v>
      </c>
      <c r="O214" s="7">
        <v>4257</v>
      </c>
      <c r="P214" s="7">
        <v>35</v>
      </c>
    </row>
    <row r="215" spans="1:16" x14ac:dyDescent="0.3">
      <c r="A215" s="10" t="s">
        <v>278</v>
      </c>
      <c r="B215" s="1">
        <v>3121</v>
      </c>
      <c r="C215" s="1">
        <v>2234</v>
      </c>
      <c r="D215" s="1">
        <v>263</v>
      </c>
      <c r="E215" s="10" t="s">
        <v>78</v>
      </c>
      <c r="F215" s="10" t="s">
        <v>78</v>
      </c>
      <c r="G215" s="10" t="s">
        <v>78</v>
      </c>
      <c r="H215" s="1">
        <v>5618</v>
      </c>
      <c r="I215" s="1">
        <v>227</v>
      </c>
      <c r="J215" s="1">
        <v>5391</v>
      </c>
      <c r="K215" s="1">
        <v>2335</v>
      </c>
      <c r="L215" s="1">
        <v>2936</v>
      </c>
      <c r="M215" s="1">
        <v>4790</v>
      </c>
      <c r="N215" s="1">
        <v>333</v>
      </c>
      <c r="O215" s="7">
        <v>4457</v>
      </c>
      <c r="P215" s="7">
        <v>-601</v>
      </c>
    </row>
    <row r="216" spans="1:16" x14ac:dyDescent="0.3">
      <c r="A216" s="10" t="s">
        <v>279</v>
      </c>
      <c r="B216" s="1">
        <v>2673</v>
      </c>
      <c r="C216" s="1">
        <v>2388</v>
      </c>
      <c r="D216" s="1">
        <v>259</v>
      </c>
      <c r="E216" s="10" t="s">
        <v>78</v>
      </c>
      <c r="F216" s="10" t="s">
        <v>78</v>
      </c>
      <c r="G216" s="10" t="s">
        <v>78</v>
      </c>
      <c r="H216" s="1">
        <v>5320</v>
      </c>
      <c r="I216" s="1">
        <v>184</v>
      </c>
      <c r="J216" s="1">
        <v>5136</v>
      </c>
      <c r="K216" s="1">
        <v>3111</v>
      </c>
      <c r="L216" s="1">
        <v>3193</v>
      </c>
      <c r="M216" s="1">
        <v>5054</v>
      </c>
      <c r="N216" s="1">
        <v>367</v>
      </c>
      <c r="O216" s="7">
        <v>4687</v>
      </c>
      <c r="P216" s="7">
        <v>-82</v>
      </c>
    </row>
    <row r="217" spans="1:16" x14ac:dyDescent="0.3">
      <c r="A217" s="10" t="s">
        <v>280</v>
      </c>
      <c r="B217" s="1">
        <v>2380</v>
      </c>
      <c r="C217" s="1">
        <v>2327</v>
      </c>
      <c r="D217" s="1">
        <v>291</v>
      </c>
      <c r="E217" s="10" t="s">
        <v>78</v>
      </c>
      <c r="F217" s="10" t="s">
        <v>78</v>
      </c>
      <c r="G217" s="10" t="s">
        <v>78</v>
      </c>
      <c r="H217" s="1">
        <v>4998</v>
      </c>
      <c r="I217" s="1">
        <v>148</v>
      </c>
      <c r="J217" s="1">
        <v>4850</v>
      </c>
      <c r="K217" s="1">
        <v>3424</v>
      </c>
      <c r="L217" s="1">
        <v>2882</v>
      </c>
      <c r="M217" s="1">
        <v>5392</v>
      </c>
      <c r="N217" s="1">
        <v>364</v>
      </c>
      <c r="O217" s="7">
        <v>5028</v>
      </c>
      <c r="P217" s="7">
        <v>542</v>
      </c>
    </row>
    <row r="218" spans="1:16" x14ac:dyDescent="0.3">
      <c r="A218" s="10" t="s">
        <v>281</v>
      </c>
      <c r="B218" s="1">
        <v>2322</v>
      </c>
      <c r="C218" s="1">
        <v>2419</v>
      </c>
      <c r="D218" s="1">
        <v>279</v>
      </c>
      <c r="E218" s="10" t="s">
        <v>78</v>
      </c>
      <c r="F218" s="10" t="s">
        <v>78</v>
      </c>
      <c r="G218" s="10" t="s">
        <v>78</v>
      </c>
      <c r="H218" s="1">
        <v>5020</v>
      </c>
      <c r="I218" s="1">
        <v>161</v>
      </c>
      <c r="J218" s="1">
        <v>4859</v>
      </c>
      <c r="K218" s="1">
        <v>3952</v>
      </c>
      <c r="L218" s="1">
        <v>3084</v>
      </c>
      <c r="M218" s="1">
        <v>5727</v>
      </c>
      <c r="N218" s="1">
        <v>385</v>
      </c>
      <c r="O218" s="7">
        <v>5342</v>
      </c>
      <c r="P218" s="7">
        <v>868</v>
      </c>
    </row>
    <row r="219" spans="1:16" x14ac:dyDescent="0.3">
      <c r="A219" s="10" t="s">
        <v>282</v>
      </c>
      <c r="B219" s="1">
        <v>2293</v>
      </c>
      <c r="C219" s="1">
        <v>2413</v>
      </c>
      <c r="D219" s="1">
        <v>297</v>
      </c>
      <c r="E219" s="10" t="s">
        <v>78</v>
      </c>
      <c r="F219" s="10" t="s">
        <v>78</v>
      </c>
      <c r="G219" s="10" t="s">
        <v>78</v>
      </c>
      <c r="H219" s="1">
        <v>5003</v>
      </c>
      <c r="I219" s="1">
        <v>158</v>
      </c>
      <c r="J219" s="1">
        <v>4845</v>
      </c>
      <c r="K219" s="1">
        <v>4115</v>
      </c>
      <c r="L219" s="1">
        <v>3187</v>
      </c>
      <c r="M219" s="1">
        <v>5773</v>
      </c>
      <c r="N219" s="1">
        <v>364</v>
      </c>
      <c r="O219" s="7">
        <v>5409</v>
      </c>
      <c r="P219" s="7">
        <v>928</v>
      </c>
    </row>
    <row r="220" spans="1:16" x14ac:dyDescent="0.3">
      <c r="A220" s="10" t="s">
        <v>283</v>
      </c>
      <c r="B220" s="1">
        <v>2190</v>
      </c>
      <c r="C220" s="1">
        <v>2174</v>
      </c>
      <c r="D220" s="1">
        <v>278</v>
      </c>
      <c r="E220" s="10" t="s">
        <v>78</v>
      </c>
      <c r="F220" s="10" t="s">
        <v>78</v>
      </c>
      <c r="G220" s="10" t="s">
        <v>78</v>
      </c>
      <c r="H220" s="1">
        <v>4642</v>
      </c>
      <c r="I220" s="1">
        <v>112</v>
      </c>
      <c r="J220" s="1">
        <v>4530</v>
      </c>
      <c r="K220" s="1">
        <v>3550</v>
      </c>
      <c r="L220" s="1">
        <v>2843</v>
      </c>
      <c r="M220" s="1">
        <v>5237</v>
      </c>
      <c r="N220" s="1">
        <v>369</v>
      </c>
      <c r="O220" s="7">
        <v>4868</v>
      </c>
      <c r="P220" s="7">
        <v>707</v>
      </c>
    </row>
    <row r="221" spans="1:16" x14ac:dyDescent="0.3">
      <c r="A221" s="10" t="s">
        <v>284</v>
      </c>
      <c r="B221" s="1">
        <v>2391</v>
      </c>
      <c r="C221" s="1">
        <v>2302</v>
      </c>
      <c r="D221" s="1">
        <v>291</v>
      </c>
      <c r="E221" s="10" t="s">
        <v>78</v>
      </c>
      <c r="F221" s="10" t="s">
        <v>78</v>
      </c>
      <c r="G221" s="10" t="s">
        <v>78</v>
      </c>
      <c r="H221" s="1">
        <v>4984</v>
      </c>
      <c r="I221" s="1">
        <v>108</v>
      </c>
      <c r="J221" s="1">
        <v>4876</v>
      </c>
      <c r="K221" s="1">
        <v>3932</v>
      </c>
      <c r="L221" s="1">
        <v>3246</v>
      </c>
      <c r="M221" s="1">
        <v>5562</v>
      </c>
      <c r="N221" s="1">
        <v>382</v>
      </c>
      <c r="O221" s="7">
        <v>5180</v>
      </c>
      <c r="P221" s="7">
        <v>686</v>
      </c>
    </row>
    <row r="222" spans="1:16" x14ac:dyDescent="0.3">
      <c r="A222" s="10" t="s">
        <v>285</v>
      </c>
      <c r="B222" s="1">
        <v>2320</v>
      </c>
      <c r="C222" s="1">
        <v>2313</v>
      </c>
      <c r="D222" s="1">
        <v>274</v>
      </c>
      <c r="E222" s="10" t="s">
        <v>78</v>
      </c>
      <c r="F222" s="10" t="s">
        <v>78</v>
      </c>
      <c r="G222" s="10" t="s">
        <v>78</v>
      </c>
      <c r="H222" s="1">
        <v>4907</v>
      </c>
      <c r="I222" s="1">
        <v>190</v>
      </c>
      <c r="J222" s="1">
        <v>4717</v>
      </c>
      <c r="K222" s="1">
        <v>3184</v>
      </c>
      <c r="L222" s="1">
        <v>3199</v>
      </c>
      <c r="M222" s="1">
        <v>4702</v>
      </c>
      <c r="N222" s="1">
        <v>357</v>
      </c>
      <c r="O222" s="7">
        <v>4345</v>
      </c>
      <c r="P222" s="7">
        <v>-15</v>
      </c>
    </row>
    <row r="223" spans="1:16" x14ac:dyDescent="0.3">
      <c r="A223" s="10" t="s">
        <v>286</v>
      </c>
      <c r="B223" s="1">
        <v>3160</v>
      </c>
      <c r="C223" s="1">
        <v>2365</v>
      </c>
      <c r="D223" s="1">
        <v>248</v>
      </c>
      <c r="E223" s="10" t="s">
        <v>78</v>
      </c>
      <c r="F223" s="10" t="s">
        <v>78</v>
      </c>
      <c r="G223" s="10" t="s">
        <v>78</v>
      </c>
      <c r="H223" s="1">
        <v>5773</v>
      </c>
      <c r="I223" s="1">
        <v>214</v>
      </c>
      <c r="J223" s="1">
        <v>5559</v>
      </c>
      <c r="K223" s="1">
        <v>2275</v>
      </c>
      <c r="L223" s="1">
        <v>3048</v>
      </c>
      <c r="M223" s="1">
        <v>4786</v>
      </c>
      <c r="N223" s="1">
        <v>341</v>
      </c>
      <c r="O223" s="7">
        <v>4445</v>
      </c>
      <c r="P223" s="7">
        <v>-773</v>
      </c>
    </row>
    <row r="224" spans="1:16" x14ac:dyDescent="0.3">
      <c r="A224" s="10" t="s">
        <v>287</v>
      </c>
      <c r="B224" s="1">
        <v>4370</v>
      </c>
      <c r="C224" s="1">
        <v>1799</v>
      </c>
      <c r="D224" s="1">
        <v>243</v>
      </c>
      <c r="E224" s="10" t="s">
        <v>78</v>
      </c>
      <c r="F224" s="10" t="s">
        <v>78</v>
      </c>
      <c r="G224" s="10" t="s">
        <v>78</v>
      </c>
      <c r="H224" s="1">
        <v>6412</v>
      </c>
      <c r="I224" s="1">
        <v>262</v>
      </c>
      <c r="J224" s="1">
        <v>6150</v>
      </c>
      <c r="K224" s="1">
        <v>1717</v>
      </c>
      <c r="L224" s="1">
        <v>3186</v>
      </c>
      <c r="M224" s="1">
        <v>4681</v>
      </c>
      <c r="N224" s="1">
        <v>313</v>
      </c>
      <c r="O224" s="7">
        <v>4368</v>
      </c>
      <c r="P224" s="7">
        <v>-1469</v>
      </c>
    </row>
    <row r="225" spans="1:16" x14ac:dyDescent="0.3">
      <c r="A225" s="10" t="s">
        <v>288</v>
      </c>
      <c r="B225" s="1">
        <v>4532</v>
      </c>
      <c r="C225" s="1">
        <v>2271</v>
      </c>
      <c r="D225" s="1">
        <v>262</v>
      </c>
      <c r="E225" s="10" t="s">
        <v>78</v>
      </c>
      <c r="F225" s="10" t="s">
        <v>78</v>
      </c>
      <c r="G225" s="10" t="s">
        <v>78</v>
      </c>
      <c r="H225" s="1">
        <v>7065</v>
      </c>
      <c r="I225" s="1">
        <v>227</v>
      </c>
      <c r="J225" s="1">
        <v>6838</v>
      </c>
      <c r="K225" s="1">
        <v>1530</v>
      </c>
      <c r="L225" s="1">
        <v>3733</v>
      </c>
      <c r="M225" s="1">
        <v>4635</v>
      </c>
      <c r="N225" s="1">
        <v>348</v>
      </c>
      <c r="O225" s="7">
        <v>4287</v>
      </c>
      <c r="P225" s="7">
        <v>-2203</v>
      </c>
    </row>
    <row r="226" spans="1:16" x14ac:dyDescent="0.3">
      <c r="A226" s="10" t="s">
        <v>289</v>
      </c>
      <c r="B226" s="1">
        <v>4280</v>
      </c>
      <c r="C226" s="1">
        <v>1378</v>
      </c>
      <c r="D226" s="1">
        <v>234</v>
      </c>
      <c r="E226" s="10" t="s">
        <v>78</v>
      </c>
      <c r="F226" s="10" t="s">
        <v>78</v>
      </c>
      <c r="G226" s="10" t="s">
        <v>78</v>
      </c>
      <c r="H226" s="1">
        <v>5892</v>
      </c>
      <c r="I226" s="1">
        <v>208</v>
      </c>
      <c r="J226" s="1">
        <v>5684</v>
      </c>
      <c r="K226" s="1">
        <v>1896</v>
      </c>
      <c r="L226" s="1">
        <v>2892</v>
      </c>
      <c r="M226" s="1">
        <v>4688</v>
      </c>
      <c r="N226" s="1">
        <v>346</v>
      </c>
      <c r="O226" s="7">
        <v>4342</v>
      </c>
      <c r="P226" s="7">
        <v>-996</v>
      </c>
    </row>
    <row r="227" spans="1:16" x14ac:dyDescent="0.3">
      <c r="A227" s="10" t="s">
        <v>290</v>
      </c>
      <c r="B227" s="1">
        <v>3153</v>
      </c>
      <c r="C227" s="1">
        <v>2179</v>
      </c>
      <c r="D227" s="1">
        <v>250</v>
      </c>
      <c r="E227" s="10" t="s">
        <v>78</v>
      </c>
      <c r="F227" s="10" t="s">
        <v>78</v>
      </c>
      <c r="G227" s="10" t="s">
        <v>78</v>
      </c>
      <c r="H227" s="1">
        <v>5582</v>
      </c>
      <c r="I227" s="1">
        <v>191</v>
      </c>
      <c r="J227" s="1">
        <v>5391</v>
      </c>
      <c r="K227" s="1">
        <v>2440</v>
      </c>
      <c r="L227" s="1">
        <v>3031</v>
      </c>
      <c r="M227" s="1">
        <v>4800</v>
      </c>
      <c r="N227" s="1">
        <v>334</v>
      </c>
      <c r="O227" s="7">
        <v>4466</v>
      </c>
      <c r="P227" s="7">
        <v>-591</v>
      </c>
    </row>
    <row r="228" spans="1:16" x14ac:dyDescent="0.3">
      <c r="A228" s="10" t="s">
        <v>291</v>
      </c>
      <c r="B228" s="1">
        <v>2911</v>
      </c>
      <c r="C228" s="1">
        <v>2398</v>
      </c>
      <c r="D228" s="1">
        <v>263</v>
      </c>
      <c r="E228" s="10" t="s">
        <v>78</v>
      </c>
      <c r="F228" s="10" t="s">
        <v>78</v>
      </c>
      <c r="G228" s="10" t="s">
        <v>78</v>
      </c>
      <c r="H228" s="1">
        <v>5572</v>
      </c>
      <c r="I228" s="1">
        <v>135</v>
      </c>
      <c r="J228" s="1">
        <v>5437</v>
      </c>
      <c r="K228" s="1">
        <v>2959</v>
      </c>
      <c r="L228" s="1">
        <v>3130</v>
      </c>
      <c r="M228" s="1">
        <v>5266</v>
      </c>
      <c r="N228" s="1">
        <v>382</v>
      </c>
      <c r="O228" s="7">
        <v>4884</v>
      </c>
      <c r="P228" s="7">
        <v>-171</v>
      </c>
    </row>
    <row r="229" spans="1:16" x14ac:dyDescent="0.3">
      <c r="A229" s="10" t="s">
        <v>292</v>
      </c>
      <c r="B229" s="1">
        <v>2410</v>
      </c>
      <c r="C229" s="1">
        <v>2334</v>
      </c>
      <c r="D229" s="1">
        <v>286</v>
      </c>
      <c r="E229" s="10" t="s">
        <v>78</v>
      </c>
      <c r="F229" s="10" t="s">
        <v>78</v>
      </c>
      <c r="G229" s="10" t="s">
        <v>78</v>
      </c>
      <c r="H229" s="1">
        <v>5030</v>
      </c>
      <c r="I229" s="1">
        <v>139</v>
      </c>
      <c r="J229" s="1">
        <v>4891</v>
      </c>
      <c r="K229" s="1">
        <v>3355</v>
      </c>
      <c r="L229" s="1">
        <v>2536</v>
      </c>
      <c r="M229" s="1">
        <v>5710</v>
      </c>
      <c r="N229" s="1">
        <v>385</v>
      </c>
      <c r="O229" s="7">
        <v>5325</v>
      </c>
      <c r="P229" s="7">
        <v>819</v>
      </c>
    </row>
    <row r="230" spans="1:16" x14ac:dyDescent="0.3">
      <c r="A230" s="10" t="s">
        <v>293</v>
      </c>
      <c r="B230" s="1">
        <v>2363</v>
      </c>
      <c r="C230" s="1">
        <v>2418</v>
      </c>
      <c r="D230" s="1">
        <v>273</v>
      </c>
      <c r="E230" s="10" t="s">
        <v>78</v>
      </c>
      <c r="F230" s="10" t="s">
        <v>78</v>
      </c>
      <c r="G230" s="10" t="s">
        <v>78</v>
      </c>
      <c r="H230" s="1">
        <v>5054</v>
      </c>
      <c r="I230" s="1">
        <v>160</v>
      </c>
      <c r="J230" s="1">
        <v>4894</v>
      </c>
      <c r="K230" s="1">
        <v>3865</v>
      </c>
      <c r="L230" s="1">
        <v>2849</v>
      </c>
      <c r="M230" s="1">
        <v>5910</v>
      </c>
      <c r="N230" s="1">
        <v>397</v>
      </c>
      <c r="O230" s="7">
        <v>5513</v>
      </c>
      <c r="P230" s="7">
        <v>1016</v>
      </c>
    </row>
    <row r="231" spans="1:16" x14ac:dyDescent="0.3">
      <c r="A231" s="10" t="s">
        <v>294</v>
      </c>
      <c r="B231" s="1">
        <v>2379</v>
      </c>
      <c r="C231" s="1">
        <v>2409</v>
      </c>
      <c r="D231" s="1">
        <v>279</v>
      </c>
      <c r="E231" s="10" t="s">
        <v>78</v>
      </c>
      <c r="F231" s="10" t="s">
        <v>78</v>
      </c>
      <c r="G231" s="10" t="s">
        <v>78</v>
      </c>
      <c r="H231" s="1">
        <v>5067</v>
      </c>
      <c r="I231" s="1">
        <v>163</v>
      </c>
      <c r="J231" s="1">
        <v>4904</v>
      </c>
      <c r="K231" s="1">
        <v>3803</v>
      </c>
      <c r="L231" s="1">
        <v>2726</v>
      </c>
      <c r="M231" s="1">
        <v>5981</v>
      </c>
      <c r="N231" s="1">
        <v>377</v>
      </c>
      <c r="O231" s="7">
        <v>5604</v>
      </c>
      <c r="P231" s="7">
        <v>1077</v>
      </c>
    </row>
    <row r="232" spans="1:16" x14ac:dyDescent="0.3">
      <c r="A232" s="10" t="s">
        <v>295</v>
      </c>
      <c r="B232" s="1">
        <v>2243</v>
      </c>
      <c r="C232" s="1">
        <v>2252</v>
      </c>
      <c r="D232" s="1">
        <v>272</v>
      </c>
      <c r="E232" s="10" t="s">
        <v>78</v>
      </c>
      <c r="F232" s="10" t="s">
        <v>78</v>
      </c>
      <c r="G232" s="10" t="s">
        <v>78</v>
      </c>
      <c r="H232" s="1">
        <v>4767</v>
      </c>
      <c r="I232" s="1">
        <v>125</v>
      </c>
      <c r="J232" s="1">
        <v>4642</v>
      </c>
      <c r="K232" s="1">
        <v>3474</v>
      </c>
      <c r="L232" s="1">
        <v>2586</v>
      </c>
      <c r="M232" s="1">
        <v>5530</v>
      </c>
      <c r="N232" s="1">
        <v>389</v>
      </c>
      <c r="O232" s="7">
        <v>5141</v>
      </c>
      <c r="P232" s="7">
        <v>888</v>
      </c>
    </row>
    <row r="233" spans="1:16" x14ac:dyDescent="0.3">
      <c r="A233" s="10" t="s">
        <v>296</v>
      </c>
      <c r="B233" s="1">
        <v>2273</v>
      </c>
      <c r="C233" s="1">
        <v>2401</v>
      </c>
      <c r="D233" s="1">
        <v>280</v>
      </c>
      <c r="E233" s="10" t="s">
        <v>78</v>
      </c>
      <c r="F233" s="10" t="s">
        <v>78</v>
      </c>
      <c r="G233" s="10" t="s">
        <v>78</v>
      </c>
      <c r="H233" s="1">
        <v>4954</v>
      </c>
      <c r="I233" s="1">
        <v>142</v>
      </c>
      <c r="J233" s="1">
        <v>4812</v>
      </c>
      <c r="K233" s="1">
        <v>3451</v>
      </c>
      <c r="L233" s="1">
        <v>2651</v>
      </c>
      <c r="M233" s="1">
        <v>5612</v>
      </c>
      <c r="N233" s="1">
        <v>385</v>
      </c>
      <c r="O233" s="7">
        <v>5227</v>
      </c>
      <c r="P233" s="7">
        <v>800</v>
      </c>
    </row>
    <row r="234" spans="1:16" x14ac:dyDescent="0.3">
      <c r="A234" s="10" t="s">
        <v>297</v>
      </c>
      <c r="B234" s="1">
        <v>2301</v>
      </c>
      <c r="C234" s="1">
        <v>2320</v>
      </c>
      <c r="D234" s="1">
        <v>272</v>
      </c>
      <c r="E234" s="10" t="s">
        <v>78</v>
      </c>
      <c r="F234" s="10" t="s">
        <v>78</v>
      </c>
      <c r="G234" s="10" t="s">
        <v>78</v>
      </c>
      <c r="H234" s="1">
        <v>4893</v>
      </c>
      <c r="I234" s="1">
        <v>203</v>
      </c>
      <c r="J234" s="1">
        <v>4690</v>
      </c>
      <c r="K234" s="1">
        <v>2930</v>
      </c>
      <c r="L234" s="1">
        <v>2354</v>
      </c>
      <c r="M234" s="1">
        <v>5266</v>
      </c>
      <c r="N234" s="1">
        <v>400</v>
      </c>
      <c r="O234" s="7">
        <v>4866</v>
      </c>
      <c r="P234" s="7">
        <v>576</v>
      </c>
    </row>
    <row r="235" spans="1:16" x14ac:dyDescent="0.3">
      <c r="A235" s="10" t="s">
        <v>298</v>
      </c>
      <c r="B235" s="1">
        <v>3554</v>
      </c>
      <c r="C235" s="1">
        <v>2332</v>
      </c>
      <c r="D235" s="1">
        <v>255</v>
      </c>
      <c r="E235" s="10" t="s">
        <v>78</v>
      </c>
      <c r="F235" s="10" t="s">
        <v>78</v>
      </c>
      <c r="G235" s="10" t="s">
        <v>78</v>
      </c>
      <c r="H235" s="1">
        <v>6141</v>
      </c>
      <c r="I235" s="1">
        <v>314</v>
      </c>
      <c r="J235" s="1">
        <v>5827</v>
      </c>
      <c r="K235" s="1">
        <v>1990</v>
      </c>
      <c r="L235" s="1">
        <v>2964</v>
      </c>
      <c r="M235" s="1">
        <v>4853</v>
      </c>
      <c r="N235" s="1">
        <v>346</v>
      </c>
      <c r="O235" s="7">
        <v>4507</v>
      </c>
      <c r="P235" s="7">
        <v>-974</v>
      </c>
    </row>
    <row r="236" spans="1:16" x14ac:dyDescent="0.3">
      <c r="A236" s="10" t="s">
        <v>299</v>
      </c>
      <c r="B236" s="1">
        <v>4500</v>
      </c>
      <c r="C236" s="1">
        <v>1460</v>
      </c>
      <c r="D236" s="1">
        <v>269</v>
      </c>
      <c r="E236" s="10" t="s">
        <v>78</v>
      </c>
      <c r="F236" s="10" t="s">
        <v>78</v>
      </c>
      <c r="G236" s="10" t="s">
        <v>78</v>
      </c>
      <c r="H236" s="1">
        <v>6229</v>
      </c>
      <c r="I236" s="1">
        <v>307</v>
      </c>
      <c r="J236" s="1">
        <v>5922</v>
      </c>
      <c r="K236" s="1">
        <v>1496</v>
      </c>
      <c r="L236" s="1">
        <v>2643</v>
      </c>
      <c r="M236" s="1">
        <v>4775</v>
      </c>
      <c r="N236" s="1">
        <v>320</v>
      </c>
      <c r="O236" s="7">
        <v>4455</v>
      </c>
      <c r="P236" s="7">
        <v>-1147</v>
      </c>
    </row>
    <row r="237" spans="1:16" x14ac:dyDescent="0.3">
      <c r="A237" s="10" t="s">
        <v>300</v>
      </c>
      <c r="B237" s="1">
        <v>4356</v>
      </c>
      <c r="C237" s="1">
        <v>2295</v>
      </c>
      <c r="D237" s="1">
        <v>276</v>
      </c>
      <c r="E237" s="10" t="s">
        <v>78</v>
      </c>
      <c r="F237" s="10" t="s">
        <v>78</v>
      </c>
      <c r="G237" s="10" t="s">
        <v>78</v>
      </c>
      <c r="H237" s="1">
        <v>6927</v>
      </c>
      <c r="I237" s="1">
        <v>330</v>
      </c>
      <c r="J237" s="1">
        <v>6597</v>
      </c>
      <c r="K237" s="1">
        <v>1365</v>
      </c>
      <c r="L237" s="1">
        <v>3248</v>
      </c>
      <c r="M237" s="1">
        <v>4714</v>
      </c>
      <c r="N237" s="1">
        <v>354</v>
      </c>
      <c r="O237" s="7">
        <v>4360</v>
      </c>
      <c r="P237" s="7">
        <v>-1883</v>
      </c>
    </row>
    <row r="238" spans="1:16" x14ac:dyDescent="0.3">
      <c r="A238" s="10" t="s">
        <v>301</v>
      </c>
      <c r="B238" s="1">
        <v>3976</v>
      </c>
      <c r="C238" s="1">
        <v>1253</v>
      </c>
      <c r="D238" s="1">
        <v>275</v>
      </c>
      <c r="E238" s="10" t="s">
        <v>78</v>
      </c>
      <c r="F238" s="10" t="s">
        <v>78</v>
      </c>
      <c r="G238" s="10" t="s">
        <v>78</v>
      </c>
      <c r="H238" s="1">
        <v>5504</v>
      </c>
      <c r="I238" s="1">
        <v>312</v>
      </c>
      <c r="J238" s="1">
        <v>5192</v>
      </c>
      <c r="K238" s="1">
        <v>1970</v>
      </c>
      <c r="L238" s="1">
        <v>2465</v>
      </c>
      <c r="M238" s="1">
        <v>4697</v>
      </c>
      <c r="N238" s="1">
        <v>346</v>
      </c>
      <c r="O238" s="7">
        <v>4351</v>
      </c>
      <c r="P238" s="7">
        <v>-495</v>
      </c>
    </row>
    <row r="239" spans="1:16" x14ac:dyDescent="0.3">
      <c r="A239" s="10" t="s">
        <v>302</v>
      </c>
      <c r="B239" s="1">
        <v>4288</v>
      </c>
      <c r="C239" s="1">
        <v>2256</v>
      </c>
      <c r="D239" s="1">
        <v>267</v>
      </c>
      <c r="E239" s="10" t="s">
        <v>78</v>
      </c>
      <c r="F239" s="10" t="s">
        <v>78</v>
      </c>
      <c r="G239" s="10" t="s">
        <v>78</v>
      </c>
      <c r="H239" s="1">
        <v>6811</v>
      </c>
      <c r="I239" s="1">
        <v>205</v>
      </c>
      <c r="J239" s="1">
        <v>6606</v>
      </c>
      <c r="K239" s="1">
        <v>1551</v>
      </c>
      <c r="L239" s="1">
        <v>3208</v>
      </c>
      <c r="M239" s="1">
        <v>4949</v>
      </c>
      <c r="N239" s="1">
        <v>345</v>
      </c>
      <c r="O239" s="7">
        <v>4604</v>
      </c>
      <c r="P239" s="7">
        <v>-1657</v>
      </c>
    </row>
    <row r="240" spans="1:16" x14ac:dyDescent="0.3">
      <c r="A240" s="10" t="s">
        <v>303</v>
      </c>
      <c r="B240" s="1">
        <v>2574</v>
      </c>
      <c r="C240" s="1">
        <v>2392</v>
      </c>
      <c r="D240" s="1">
        <v>275</v>
      </c>
      <c r="E240" s="10" t="s">
        <v>78</v>
      </c>
      <c r="F240" s="10" t="s">
        <v>78</v>
      </c>
      <c r="G240" s="10" t="s">
        <v>78</v>
      </c>
      <c r="H240" s="1">
        <v>5241</v>
      </c>
      <c r="I240" s="1">
        <v>230</v>
      </c>
      <c r="J240" s="1">
        <v>5011</v>
      </c>
      <c r="K240" s="1">
        <v>2903</v>
      </c>
      <c r="L240" s="1">
        <v>2622</v>
      </c>
      <c r="M240" s="1">
        <v>5292</v>
      </c>
      <c r="N240" s="1">
        <v>384</v>
      </c>
      <c r="O240" s="7">
        <v>4908</v>
      </c>
      <c r="P240" s="7">
        <v>281</v>
      </c>
    </row>
    <row r="241" spans="1:17" x14ac:dyDescent="0.3">
      <c r="A241" s="10" t="s">
        <v>304</v>
      </c>
      <c r="B241" s="1">
        <v>2660</v>
      </c>
      <c r="C241" s="1">
        <v>2338</v>
      </c>
      <c r="D241" s="1">
        <v>273</v>
      </c>
      <c r="E241" s="10" t="s">
        <v>78</v>
      </c>
      <c r="F241" s="10" t="s">
        <v>78</v>
      </c>
      <c r="G241" s="10" t="s">
        <v>78</v>
      </c>
      <c r="H241" s="1">
        <v>5271</v>
      </c>
      <c r="I241" s="1">
        <v>166</v>
      </c>
      <c r="J241" s="1">
        <v>5105</v>
      </c>
      <c r="K241" s="1">
        <v>3022</v>
      </c>
      <c r="L241" s="1">
        <v>2577</v>
      </c>
      <c r="M241" s="1">
        <v>5550</v>
      </c>
      <c r="N241" s="1">
        <v>374</v>
      </c>
      <c r="O241" s="7">
        <v>5176</v>
      </c>
      <c r="P241" s="7">
        <v>445</v>
      </c>
    </row>
    <row r="242" spans="1:17" x14ac:dyDescent="0.3">
      <c r="A242" s="10" t="s">
        <v>305</v>
      </c>
      <c r="B242" s="1">
        <v>2455</v>
      </c>
      <c r="C242" s="1">
        <v>2424</v>
      </c>
      <c r="D242" s="1">
        <v>283</v>
      </c>
      <c r="E242" s="10" t="s">
        <v>78</v>
      </c>
      <c r="F242" s="10" t="s">
        <v>78</v>
      </c>
      <c r="G242" s="10" t="s">
        <v>78</v>
      </c>
      <c r="H242" s="1">
        <v>5162</v>
      </c>
      <c r="I242" s="1">
        <v>188</v>
      </c>
      <c r="J242" s="1">
        <v>4974</v>
      </c>
      <c r="K242" s="1">
        <v>3646</v>
      </c>
      <c r="L242" s="1">
        <v>2692</v>
      </c>
      <c r="M242" s="1">
        <v>5928</v>
      </c>
      <c r="N242" s="1">
        <v>398</v>
      </c>
      <c r="O242" s="7">
        <v>5530</v>
      </c>
      <c r="P242" s="7">
        <v>954</v>
      </c>
    </row>
    <row r="243" spans="1:17" x14ac:dyDescent="0.3">
      <c r="A243" s="10" t="s">
        <v>306</v>
      </c>
      <c r="B243" s="1">
        <v>2675</v>
      </c>
      <c r="C243" s="1">
        <v>2426</v>
      </c>
      <c r="D243" s="1">
        <v>284</v>
      </c>
      <c r="E243" s="10" t="s">
        <v>78</v>
      </c>
      <c r="F243" s="10" t="s">
        <v>78</v>
      </c>
      <c r="G243" s="10" t="s">
        <v>78</v>
      </c>
      <c r="H243" s="1">
        <v>5385</v>
      </c>
      <c r="I243" s="1">
        <v>117</v>
      </c>
      <c r="J243" s="1">
        <v>5268</v>
      </c>
      <c r="K243" s="1">
        <v>3622</v>
      </c>
      <c r="L243" s="1">
        <v>2640</v>
      </c>
      <c r="M243" s="1">
        <v>6250</v>
      </c>
      <c r="N243" s="1">
        <v>394</v>
      </c>
      <c r="O243" s="7">
        <v>5856</v>
      </c>
      <c r="P243" s="7">
        <v>982</v>
      </c>
    </row>
    <row r="244" spans="1:17" x14ac:dyDescent="0.3">
      <c r="A244" s="10" t="s">
        <v>307</v>
      </c>
      <c r="B244" s="1">
        <v>2226</v>
      </c>
      <c r="C244" s="1">
        <v>2184</v>
      </c>
      <c r="D244" s="1">
        <v>262</v>
      </c>
      <c r="E244" s="10" t="s">
        <v>78</v>
      </c>
      <c r="F244" s="10" t="s">
        <v>78</v>
      </c>
      <c r="G244" s="10" t="s">
        <v>78</v>
      </c>
      <c r="H244" s="1">
        <v>4672</v>
      </c>
      <c r="I244" s="1">
        <v>137</v>
      </c>
      <c r="J244" s="1">
        <v>4535</v>
      </c>
      <c r="K244" s="1">
        <v>3410</v>
      </c>
      <c r="L244" s="1">
        <v>2426</v>
      </c>
      <c r="M244" s="1">
        <v>5519</v>
      </c>
      <c r="N244" s="1">
        <v>388</v>
      </c>
      <c r="O244" s="7">
        <v>5131</v>
      </c>
      <c r="P244" s="7">
        <v>984</v>
      </c>
    </row>
    <row r="245" spans="1:17" x14ac:dyDescent="0.3">
      <c r="A245" s="10" t="s">
        <v>308</v>
      </c>
      <c r="B245" s="1">
        <v>2389</v>
      </c>
      <c r="C245" s="1">
        <v>2414</v>
      </c>
      <c r="D245" s="1">
        <v>273</v>
      </c>
      <c r="E245" s="10" t="s">
        <v>78</v>
      </c>
      <c r="F245" s="10" t="s">
        <v>78</v>
      </c>
      <c r="G245" s="10" t="s">
        <v>78</v>
      </c>
      <c r="H245" s="1">
        <v>5076</v>
      </c>
      <c r="I245" s="1">
        <v>184</v>
      </c>
      <c r="J245" s="1">
        <v>4892</v>
      </c>
      <c r="K245" s="1">
        <v>3328</v>
      </c>
      <c r="L245" s="1">
        <v>2602</v>
      </c>
      <c r="M245" s="1">
        <v>5618</v>
      </c>
      <c r="N245" s="1">
        <v>386</v>
      </c>
      <c r="O245" s="7">
        <v>5232</v>
      </c>
      <c r="P245" s="7">
        <v>726</v>
      </c>
    </row>
    <row r="246" spans="1:17" x14ac:dyDescent="0.3">
      <c r="A246" s="10" t="s">
        <v>309</v>
      </c>
      <c r="B246" s="1">
        <v>2899</v>
      </c>
      <c r="C246" s="1">
        <v>2324</v>
      </c>
      <c r="D246" s="1">
        <v>264</v>
      </c>
      <c r="E246" s="10" t="s">
        <v>78</v>
      </c>
      <c r="F246" s="10" t="s">
        <v>78</v>
      </c>
      <c r="G246" s="10" t="s">
        <v>78</v>
      </c>
      <c r="H246" s="1">
        <v>5487</v>
      </c>
      <c r="I246" s="1">
        <v>176</v>
      </c>
      <c r="J246" s="1">
        <v>5311</v>
      </c>
      <c r="K246" s="1">
        <v>2070</v>
      </c>
      <c r="L246" s="1">
        <v>2705</v>
      </c>
      <c r="M246" s="1">
        <v>4676</v>
      </c>
      <c r="N246" s="1">
        <v>355</v>
      </c>
      <c r="O246" s="7">
        <v>4321</v>
      </c>
      <c r="P246" s="7">
        <v>-635</v>
      </c>
    </row>
    <row r="247" spans="1:17" x14ac:dyDescent="0.3">
      <c r="A247" s="10" t="s">
        <v>310</v>
      </c>
      <c r="B247" s="1">
        <v>3890</v>
      </c>
      <c r="C247" s="1">
        <v>2365</v>
      </c>
      <c r="D247" s="1">
        <v>260</v>
      </c>
      <c r="E247" s="10" t="s">
        <v>78</v>
      </c>
      <c r="F247" s="10" t="s">
        <v>78</v>
      </c>
      <c r="G247" s="10" t="s">
        <v>78</v>
      </c>
      <c r="H247" s="1">
        <v>6515</v>
      </c>
      <c r="I247" s="1">
        <v>283</v>
      </c>
      <c r="J247" s="1">
        <v>6232</v>
      </c>
      <c r="K247" s="1">
        <v>1453</v>
      </c>
      <c r="L247" s="1">
        <v>3050</v>
      </c>
      <c r="M247" s="1">
        <v>4635</v>
      </c>
      <c r="N247" s="1">
        <v>331</v>
      </c>
      <c r="O247" s="7">
        <v>4304</v>
      </c>
      <c r="P247" s="7">
        <v>-1597</v>
      </c>
    </row>
    <row r="248" spans="1:17" x14ac:dyDescent="0.3">
      <c r="A248" s="10" t="s">
        <v>311</v>
      </c>
      <c r="B248" s="1">
        <v>4354</v>
      </c>
      <c r="C248" s="1">
        <v>1725</v>
      </c>
      <c r="D248" s="1">
        <v>257</v>
      </c>
      <c r="E248" s="10" t="s">
        <v>78</v>
      </c>
      <c r="F248" s="10" t="s">
        <v>78</v>
      </c>
      <c r="G248" s="10" t="s">
        <v>78</v>
      </c>
      <c r="H248" s="1">
        <v>6336</v>
      </c>
      <c r="I248" s="1">
        <v>245</v>
      </c>
      <c r="J248" s="1">
        <v>6091</v>
      </c>
      <c r="K248" s="1">
        <v>1703</v>
      </c>
      <c r="L248" s="1">
        <v>3239</v>
      </c>
      <c r="M248" s="1">
        <v>4555</v>
      </c>
      <c r="N248" s="1">
        <v>305</v>
      </c>
      <c r="O248" s="7">
        <v>4250</v>
      </c>
      <c r="P248" s="7">
        <v>-1536</v>
      </c>
    </row>
    <row r="249" spans="1:17" x14ac:dyDescent="0.3">
      <c r="A249" s="10" t="s">
        <v>312</v>
      </c>
      <c r="B249" s="1">
        <v>4703</v>
      </c>
      <c r="C249" s="1">
        <v>2267</v>
      </c>
      <c r="D249" s="1">
        <v>266</v>
      </c>
      <c r="E249" s="10" t="s">
        <v>78</v>
      </c>
      <c r="F249" s="10" t="s">
        <v>78</v>
      </c>
      <c r="G249" s="10" t="s">
        <v>78</v>
      </c>
      <c r="H249" s="1">
        <v>7236</v>
      </c>
      <c r="I249" s="1">
        <v>319</v>
      </c>
      <c r="J249" s="1">
        <v>6917</v>
      </c>
      <c r="K249" s="1">
        <v>1388</v>
      </c>
      <c r="L249" s="1">
        <v>3699</v>
      </c>
      <c r="M249" s="1">
        <v>4606</v>
      </c>
      <c r="N249" s="1">
        <v>346</v>
      </c>
      <c r="O249" s="7">
        <v>4260</v>
      </c>
      <c r="P249" s="7">
        <v>-2311</v>
      </c>
    </row>
    <row r="250" spans="1:17" x14ac:dyDescent="0.3">
      <c r="A250" s="10" t="s">
        <v>313</v>
      </c>
      <c r="B250" s="1">
        <v>4451</v>
      </c>
      <c r="C250" s="1">
        <v>1213</v>
      </c>
      <c r="D250" s="1">
        <v>258</v>
      </c>
      <c r="E250" s="10" t="s">
        <v>78</v>
      </c>
      <c r="F250" s="10" t="s">
        <v>78</v>
      </c>
      <c r="G250" s="10" t="s">
        <v>78</v>
      </c>
      <c r="H250" s="1">
        <v>5922</v>
      </c>
      <c r="I250" s="1">
        <v>289</v>
      </c>
      <c r="J250" s="1">
        <v>5633</v>
      </c>
      <c r="K250" s="1">
        <v>1790</v>
      </c>
      <c r="L250" s="1">
        <v>2792</v>
      </c>
      <c r="M250" s="1">
        <v>4631</v>
      </c>
      <c r="N250" s="1">
        <v>341</v>
      </c>
      <c r="O250" s="7">
        <v>4290</v>
      </c>
      <c r="P250" s="7">
        <v>-1002</v>
      </c>
    </row>
    <row r="251" spans="1:17" x14ac:dyDescent="0.3">
      <c r="A251" s="10" t="s">
        <v>314</v>
      </c>
      <c r="B251" s="1">
        <v>2916</v>
      </c>
      <c r="C251" s="1">
        <v>2056</v>
      </c>
      <c r="D251" s="1">
        <v>271</v>
      </c>
      <c r="E251" s="10" t="s">
        <v>78</v>
      </c>
      <c r="F251" s="10" t="s">
        <v>78</v>
      </c>
      <c r="G251" s="10" t="s">
        <v>78</v>
      </c>
      <c r="H251" s="1">
        <v>5243</v>
      </c>
      <c r="I251" s="1">
        <v>221</v>
      </c>
      <c r="J251" s="1">
        <v>5022</v>
      </c>
      <c r="K251" s="1">
        <v>2601</v>
      </c>
      <c r="L251" s="1">
        <v>2863</v>
      </c>
      <c r="M251" s="1">
        <v>4760</v>
      </c>
      <c r="N251" s="1">
        <v>332</v>
      </c>
      <c r="O251" s="7">
        <v>4428</v>
      </c>
      <c r="P251" s="7">
        <v>-262</v>
      </c>
      <c r="Q251" s="1"/>
    </row>
    <row r="252" spans="1:17" x14ac:dyDescent="0.3">
      <c r="A252" s="10" t="s">
        <v>315</v>
      </c>
      <c r="B252" s="1">
        <v>2356</v>
      </c>
      <c r="C252" s="1">
        <v>2403</v>
      </c>
      <c r="D252" s="1">
        <v>272</v>
      </c>
      <c r="E252" s="10" t="s">
        <v>78</v>
      </c>
      <c r="F252" s="10" t="s">
        <v>78</v>
      </c>
      <c r="G252" s="10" t="s">
        <v>78</v>
      </c>
      <c r="H252" s="1">
        <v>5031</v>
      </c>
      <c r="I252" s="1">
        <v>200</v>
      </c>
      <c r="J252" s="1">
        <v>4831</v>
      </c>
      <c r="K252" s="1">
        <v>2978</v>
      </c>
      <c r="L252" s="1">
        <v>2607</v>
      </c>
      <c r="M252" s="1">
        <v>5202</v>
      </c>
      <c r="N252" s="1">
        <v>378</v>
      </c>
      <c r="O252" s="7">
        <v>4824</v>
      </c>
      <c r="P252" s="7">
        <v>371</v>
      </c>
      <c r="Q252" s="1"/>
    </row>
    <row r="253" spans="1:17" x14ac:dyDescent="0.3">
      <c r="A253" s="10" t="s">
        <v>316</v>
      </c>
      <c r="B253" s="1">
        <v>1976</v>
      </c>
      <c r="C253" s="1">
        <v>2320</v>
      </c>
      <c r="D253" s="1">
        <v>285</v>
      </c>
      <c r="E253" s="10" t="s">
        <v>78</v>
      </c>
      <c r="F253" s="10" t="s">
        <v>78</v>
      </c>
      <c r="G253" s="10" t="s">
        <v>78</v>
      </c>
      <c r="H253" s="1">
        <v>4581</v>
      </c>
      <c r="I253" s="1">
        <v>151</v>
      </c>
      <c r="J253" s="1">
        <v>4430</v>
      </c>
      <c r="K253" s="1">
        <v>3319</v>
      </c>
      <c r="L253" s="1">
        <v>2321</v>
      </c>
      <c r="M253" s="1">
        <v>5428</v>
      </c>
      <c r="N253" s="1">
        <v>366</v>
      </c>
      <c r="O253" s="7">
        <v>5062</v>
      </c>
      <c r="P253" s="7">
        <v>998</v>
      </c>
      <c r="Q253" s="1"/>
    </row>
    <row r="254" spans="1:17" x14ac:dyDescent="0.3">
      <c r="A254" s="10" t="s">
        <v>317</v>
      </c>
      <c r="B254" s="1">
        <v>2301</v>
      </c>
      <c r="C254" s="1">
        <v>2422</v>
      </c>
      <c r="D254" s="1">
        <v>287</v>
      </c>
      <c r="E254" s="10" t="s">
        <v>78</v>
      </c>
      <c r="F254" s="10" t="s">
        <v>78</v>
      </c>
      <c r="G254" s="10" t="s">
        <v>78</v>
      </c>
      <c r="H254" s="1">
        <v>5010</v>
      </c>
      <c r="I254" s="1">
        <v>201</v>
      </c>
      <c r="J254" s="1">
        <v>4809</v>
      </c>
      <c r="K254" s="1">
        <v>3706</v>
      </c>
      <c r="L254" s="1">
        <v>2581</v>
      </c>
      <c r="M254" s="1">
        <v>5934</v>
      </c>
      <c r="N254" s="1">
        <v>398</v>
      </c>
      <c r="O254" s="7">
        <v>5536</v>
      </c>
      <c r="P254" s="7">
        <v>1125</v>
      </c>
      <c r="Q254" s="1"/>
    </row>
    <row r="255" spans="1:17" x14ac:dyDescent="0.3">
      <c r="A255" s="10" t="s">
        <v>318</v>
      </c>
      <c r="B255" s="1">
        <v>2805</v>
      </c>
      <c r="C255" s="1">
        <v>2423</v>
      </c>
      <c r="D255" s="1">
        <v>326</v>
      </c>
      <c r="E255" s="10" t="s">
        <v>78</v>
      </c>
      <c r="F255" s="10" t="s">
        <v>78</v>
      </c>
      <c r="G255" s="10" t="s">
        <v>78</v>
      </c>
      <c r="H255" s="1">
        <v>5554</v>
      </c>
      <c r="I255" s="1">
        <v>137</v>
      </c>
      <c r="J255" s="1">
        <v>5417</v>
      </c>
      <c r="K255" s="1">
        <v>3394</v>
      </c>
      <c r="L255" s="1">
        <v>2567</v>
      </c>
      <c r="M255" s="1">
        <v>6244</v>
      </c>
      <c r="N255" s="1">
        <v>394</v>
      </c>
      <c r="O255" s="7">
        <v>5850</v>
      </c>
      <c r="P255" s="7">
        <v>827</v>
      </c>
      <c r="Q255" s="1"/>
    </row>
    <row r="256" spans="1:17" x14ac:dyDescent="0.3">
      <c r="A256" s="10" t="s">
        <v>319</v>
      </c>
      <c r="B256" s="1">
        <v>2402</v>
      </c>
      <c r="C256" s="1">
        <v>2187</v>
      </c>
      <c r="D256" s="1">
        <v>306</v>
      </c>
      <c r="E256" s="10" t="s">
        <v>78</v>
      </c>
      <c r="F256" s="10" t="s">
        <v>78</v>
      </c>
      <c r="G256" s="10" t="s">
        <v>78</v>
      </c>
      <c r="H256" s="1">
        <v>4895</v>
      </c>
      <c r="I256" s="1">
        <v>107</v>
      </c>
      <c r="J256" s="1">
        <v>4788</v>
      </c>
      <c r="K256" s="1">
        <v>3344</v>
      </c>
      <c r="L256" s="1">
        <v>2508</v>
      </c>
      <c r="M256" s="1">
        <v>5624</v>
      </c>
      <c r="N256" s="1">
        <v>395</v>
      </c>
      <c r="O256" s="7">
        <v>5229</v>
      </c>
      <c r="P256" s="7">
        <v>836</v>
      </c>
      <c r="Q256" s="1"/>
    </row>
    <row r="257" spans="1:17" x14ac:dyDescent="0.3">
      <c r="A257" s="10" t="s">
        <v>320</v>
      </c>
      <c r="B257" s="1">
        <v>2319</v>
      </c>
      <c r="C257" s="1">
        <v>2412</v>
      </c>
      <c r="D257" s="1">
        <v>305</v>
      </c>
      <c r="E257" s="10" t="s">
        <v>78</v>
      </c>
      <c r="F257" s="10" t="s">
        <v>78</v>
      </c>
      <c r="G257" s="10" t="s">
        <v>78</v>
      </c>
      <c r="H257" s="1">
        <v>5036</v>
      </c>
      <c r="I257" s="1">
        <v>150</v>
      </c>
      <c r="J257" s="1">
        <v>4886</v>
      </c>
      <c r="K257" s="1">
        <v>3735</v>
      </c>
      <c r="L257" s="1">
        <v>2756</v>
      </c>
      <c r="M257" s="1">
        <v>5865</v>
      </c>
      <c r="N257" s="1">
        <v>403</v>
      </c>
      <c r="O257" s="7">
        <v>5462</v>
      </c>
      <c r="P257" s="7">
        <v>979</v>
      </c>
      <c r="Q257" s="1"/>
    </row>
    <row r="258" spans="1:17" x14ac:dyDescent="0.3">
      <c r="A258" s="10" t="s">
        <v>321</v>
      </c>
      <c r="B258" s="1">
        <v>2116</v>
      </c>
      <c r="C258" s="1">
        <v>2326</v>
      </c>
      <c r="D258" s="1">
        <v>296</v>
      </c>
      <c r="E258" s="10" t="s">
        <v>78</v>
      </c>
      <c r="F258" s="10" t="s">
        <v>78</v>
      </c>
      <c r="G258" s="10" t="s">
        <v>78</v>
      </c>
      <c r="H258" s="1">
        <v>4738</v>
      </c>
      <c r="I258" s="1">
        <v>161</v>
      </c>
      <c r="J258" s="1">
        <v>4577</v>
      </c>
      <c r="K258" s="1">
        <v>2977</v>
      </c>
      <c r="L258" s="1">
        <v>2560</v>
      </c>
      <c r="M258" s="1">
        <v>4994</v>
      </c>
      <c r="N258" s="1">
        <v>379</v>
      </c>
      <c r="O258" s="7">
        <v>4615</v>
      </c>
      <c r="P258" s="7">
        <v>417</v>
      </c>
      <c r="Q258" s="1"/>
    </row>
    <row r="259" spans="1:17" x14ac:dyDescent="0.3">
      <c r="A259" s="10" t="s">
        <v>322</v>
      </c>
      <c r="B259" s="1">
        <v>3384</v>
      </c>
      <c r="C259" s="1">
        <v>2203</v>
      </c>
      <c r="D259" s="1">
        <v>306</v>
      </c>
      <c r="E259" s="10" t="s">
        <v>78</v>
      </c>
      <c r="F259" s="10" t="s">
        <v>78</v>
      </c>
      <c r="G259" s="10" t="s">
        <v>78</v>
      </c>
      <c r="H259" s="1">
        <v>5893</v>
      </c>
      <c r="I259" s="1">
        <v>249</v>
      </c>
      <c r="J259" s="1">
        <v>5644</v>
      </c>
      <c r="K259" s="1">
        <v>2030</v>
      </c>
      <c r="L259" s="1">
        <v>2729</v>
      </c>
      <c r="M259" s="1">
        <v>4945</v>
      </c>
      <c r="N259" s="1">
        <v>353</v>
      </c>
      <c r="O259" s="7">
        <v>4592</v>
      </c>
      <c r="P259" s="7">
        <v>-699</v>
      </c>
      <c r="Q259" s="1"/>
    </row>
    <row r="260" spans="1:17" x14ac:dyDescent="0.3">
      <c r="A260" s="10" t="s">
        <v>323</v>
      </c>
      <c r="B260" s="1">
        <v>4328</v>
      </c>
      <c r="C260" s="1">
        <v>1562</v>
      </c>
      <c r="D260" s="1">
        <v>296</v>
      </c>
      <c r="E260" s="10" t="s">
        <v>78</v>
      </c>
      <c r="F260" s="10" t="s">
        <v>78</v>
      </c>
      <c r="G260" s="10" t="s">
        <v>78</v>
      </c>
      <c r="H260" s="1">
        <v>6186</v>
      </c>
      <c r="I260" s="1">
        <v>372</v>
      </c>
      <c r="J260" s="1">
        <v>5814</v>
      </c>
      <c r="K260" s="1">
        <v>1833</v>
      </c>
      <c r="L260" s="1">
        <v>2864</v>
      </c>
      <c r="M260" s="1">
        <v>4783</v>
      </c>
      <c r="N260" s="1">
        <v>320</v>
      </c>
      <c r="O260" s="7">
        <v>4463</v>
      </c>
      <c r="P260" s="7">
        <v>-1031</v>
      </c>
      <c r="Q260" s="1"/>
    </row>
    <row r="261" spans="1:17" x14ac:dyDescent="0.3">
      <c r="A261" s="10" t="s">
        <v>324</v>
      </c>
      <c r="B261" s="1">
        <v>4227</v>
      </c>
      <c r="C261" s="1">
        <v>2129</v>
      </c>
      <c r="D261" s="1">
        <v>307</v>
      </c>
      <c r="E261" s="10" t="s">
        <v>78</v>
      </c>
      <c r="F261" s="10" t="s">
        <v>78</v>
      </c>
      <c r="G261" s="10" t="s">
        <v>78</v>
      </c>
      <c r="H261" s="1">
        <v>6663</v>
      </c>
      <c r="I261" s="1">
        <v>361</v>
      </c>
      <c r="J261" s="1">
        <v>6302</v>
      </c>
      <c r="K261" s="1">
        <v>1971</v>
      </c>
      <c r="L261" s="1">
        <v>3506</v>
      </c>
      <c r="M261" s="1">
        <v>4767</v>
      </c>
      <c r="N261" s="1">
        <v>358</v>
      </c>
      <c r="O261" s="7">
        <v>4409</v>
      </c>
      <c r="P261" s="7">
        <v>-1535</v>
      </c>
      <c r="Q261" s="1"/>
    </row>
    <row r="262" spans="1:17" x14ac:dyDescent="0.3">
      <c r="A262" s="10" t="s">
        <v>325</v>
      </c>
      <c r="B262" s="1">
        <v>3985</v>
      </c>
      <c r="C262" s="1">
        <v>1246</v>
      </c>
      <c r="D262" s="1">
        <v>303</v>
      </c>
      <c r="E262" s="10" t="s">
        <v>78</v>
      </c>
      <c r="F262" s="10" t="s">
        <v>78</v>
      </c>
      <c r="G262" s="10" t="s">
        <v>78</v>
      </c>
      <c r="H262" s="1">
        <v>5534</v>
      </c>
      <c r="I262" s="1">
        <v>296</v>
      </c>
      <c r="J262" s="1">
        <v>5238</v>
      </c>
      <c r="K262" s="1">
        <v>2093</v>
      </c>
      <c r="L262" s="1">
        <v>2556</v>
      </c>
      <c r="M262" s="1">
        <v>4775</v>
      </c>
      <c r="N262" s="1">
        <v>352</v>
      </c>
      <c r="O262" s="7">
        <v>4423</v>
      </c>
      <c r="P262" s="7">
        <v>-463</v>
      </c>
      <c r="Q262" s="1"/>
    </row>
    <row r="263" spans="1:17" x14ac:dyDescent="0.3">
      <c r="A263" s="10" t="s">
        <v>326</v>
      </c>
      <c r="B263" s="1">
        <v>3216</v>
      </c>
      <c r="C263" s="1">
        <v>1494</v>
      </c>
      <c r="D263" s="1">
        <v>270</v>
      </c>
      <c r="E263" s="10" t="s">
        <v>78</v>
      </c>
      <c r="F263" s="10" t="s">
        <v>78</v>
      </c>
      <c r="G263" s="10" t="s">
        <v>78</v>
      </c>
      <c r="H263" s="1">
        <v>4980</v>
      </c>
      <c r="I263" s="1">
        <v>163</v>
      </c>
      <c r="J263" s="1">
        <v>4817</v>
      </c>
      <c r="K263" s="1">
        <v>2628</v>
      </c>
      <c r="L263" s="1">
        <v>2542</v>
      </c>
      <c r="M263" s="1">
        <v>4903</v>
      </c>
      <c r="N263" s="1">
        <v>342</v>
      </c>
      <c r="O263" s="7">
        <v>4561</v>
      </c>
      <c r="P263" s="7">
        <v>86</v>
      </c>
      <c r="Q263" s="1"/>
    </row>
    <row r="264" spans="1:17" x14ac:dyDescent="0.3">
      <c r="A264" s="10" t="s">
        <v>327</v>
      </c>
      <c r="B264" s="1">
        <v>2805</v>
      </c>
      <c r="C264" s="1">
        <v>2428</v>
      </c>
      <c r="D264" s="1">
        <v>300</v>
      </c>
      <c r="E264" s="10" t="s">
        <v>78</v>
      </c>
      <c r="F264" s="10" t="s">
        <v>78</v>
      </c>
      <c r="G264" s="10" t="s">
        <v>78</v>
      </c>
      <c r="H264" s="1">
        <v>5533</v>
      </c>
      <c r="I264" s="1">
        <v>169</v>
      </c>
      <c r="J264" s="1">
        <v>5364</v>
      </c>
      <c r="K264" s="1">
        <v>3066</v>
      </c>
      <c r="L264" s="1">
        <v>3031</v>
      </c>
      <c r="M264" s="1">
        <v>5399</v>
      </c>
      <c r="N264" s="1">
        <v>392</v>
      </c>
      <c r="O264" s="7">
        <v>5007</v>
      </c>
      <c r="P264" s="7">
        <v>35</v>
      </c>
      <c r="Q264" s="1"/>
    </row>
    <row r="265" spans="1:17" x14ac:dyDescent="0.3">
      <c r="A265" s="10" t="s">
        <v>328</v>
      </c>
      <c r="B265" s="1">
        <v>2694</v>
      </c>
      <c r="C265" s="1">
        <v>2350</v>
      </c>
      <c r="D265" s="1">
        <v>292</v>
      </c>
      <c r="E265" s="10" t="s">
        <v>78</v>
      </c>
      <c r="F265" s="10" t="s">
        <v>78</v>
      </c>
      <c r="G265" s="10" t="s">
        <v>78</v>
      </c>
      <c r="H265" s="1">
        <v>5336</v>
      </c>
      <c r="I265" s="1">
        <v>183</v>
      </c>
      <c r="J265" s="1">
        <v>5153</v>
      </c>
      <c r="K265" s="1">
        <v>3163</v>
      </c>
      <c r="L265" s="1">
        <v>2633</v>
      </c>
      <c r="M265" s="1">
        <v>5683</v>
      </c>
      <c r="N265" s="1">
        <v>383</v>
      </c>
      <c r="O265" s="7">
        <v>5300</v>
      </c>
      <c r="P265" s="7">
        <v>530</v>
      </c>
      <c r="Q265" s="1"/>
    </row>
    <row r="266" spans="1:17" x14ac:dyDescent="0.3">
      <c r="A266" s="10" t="s">
        <v>329</v>
      </c>
      <c r="B266" s="1">
        <v>3169</v>
      </c>
      <c r="C266" s="1">
        <v>2445</v>
      </c>
      <c r="D266" s="1">
        <v>290</v>
      </c>
      <c r="E266" s="10" t="s">
        <v>78</v>
      </c>
      <c r="F266" s="10" t="s">
        <v>78</v>
      </c>
      <c r="G266" s="10" t="s">
        <v>78</v>
      </c>
      <c r="H266" s="1">
        <v>5904</v>
      </c>
      <c r="I266" s="1">
        <v>146</v>
      </c>
      <c r="J266" s="1">
        <v>5758</v>
      </c>
      <c r="K266" s="1">
        <v>3167</v>
      </c>
      <c r="L266" s="1">
        <v>2629</v>
      </c>
      <c r="M266" s="1">
        <v>6296</v>
      </c>
      <c r="N266" s="1">
        <v>422</v>
      </c>
      <c r="O266" s="7">
        <v>5874</v>
      </c>
      <c r="P266" s="7">
        <v>538</v>
      </c>
      <c r="Q266" s="1"/>
    </row>
    <row r="267" spans="1:17" x14ac:dyDescent="0.3">
      <c r="A267" s="10" t="s">
        <v>330</v>
      </c>
      <c r="B267" s="7">
        <v>2652</v>
      </c>
      <c r="C267" s="7">
        <v>2435</v>
      </c>
      <c r="D267" s="7">
        <v>321</v>
      </c>
      <c r="E267" s="10" t="s">
        <v>78</v>
      </c>
      <c r="F267" s="10" t="s">
        <v>78</v>
      </c>
      <c r="G267" s="10" t="s">
        <v>78</v>
      </c>
      <c r="H267" s="7">
        <v>5408</v>
      </c>
      <c r="I267" s="7">
        <v>144</v>
      </c>
      <c r="J267" s="7">
        <v>5264</v>
      </c>
      <c r="K267" s="7">
        <v>3682</v>
      </c>
      <c r="L267" s="7">
        <v>2733</v>
      </c>
      <c r="M267" s="7">
        <v>6213</v>
      </c>
      <c r="N267" s="7">
        <v>392</v>
      </c>
      <c r="O267" s="7">
        <v>5821</v>
      </c>
      <c r="P267" s="7">
        <v>949</v>
      </c>
      <c r="Q267" s="18" t="s">
        <v>331</v>
      </c>
    </row>
    <row r="268" spans="1:17" x14ac:dyDescent="0.3">
      <c r="A268" s="10" t="s">
        <v>332</v>
      </c>
      <c r="B268" s="1">
        <v>2228</v>
      </c>
      <c r="C268" s="1">
        <v>2177</v>
      </c>
      <c r="D268" s="1">
        <v>311</v>
      </c>
      <c r="E268" s="10" t="s">
        <v>78</v>
      </c>
      <c r="F268" s="10" t="s">
        <v>78</v>
      </c>
      <c r="G268" s="10" t="s">
        <v>78</v>
      </c>
      <c r="H268" s="1">
        <v>4716</v>
      </c>
      <c r="I268" s="1">
        <v>99</v>
      </c>
      <c r="J268" s="1">
        <v>4617</v>
      </c>
      <c r="K268" s="1">
        <v>3733</v>
      </c>
      <c r="L268" s="1">
        <v>2743</v>
      </c>
      <c r="M268" s="1">
        <v>5607</v>
      </c>
      <c r="N268" s="1">
        <v>394</v>
      </c>
      <c r="O268" s="7">
        <v>5213</v>
      </c>
      <c r="P268" s="7">
        <v>990</v>
      </c>
      <c r="Q268" s="1"/>
    </row>
    <row r="269" spans="1:17" x14ac:dyDescent="0.3">
      <c r="A269" s="10" t="s">
        <v>333</v>
      </c>
      <c r="B269" s="1">
        <v>2032</v>
      </c>
      <c r="C269" s="1">
        <v>2426</v>
      </c>
      <c r="D269" s="1">
        <v>321</v>
      </c>
      <c r="E269" s="10" t="s">
        <v>78</v>
      </c>
      <c r="F269" s="10" t="s">
        <v>78</v>
      </c>
      <c r="G269" s="10" t="s">
        <v>78</v>
      </c>
      <c r="H269" s="1">
        <v>4779</v>
      </c>
      <c r="I269" s="1">
        <v>167</v>
      </c>
      <c r="J269" s="1">
        <v>4612</v>
      </c>
      <c r="K269" s="1">
        <v>3726</v>
      </c>
      <c r="L269" s="1">
        <v>2526</v>
      </c>
      <c r="M269" s="1">
        <v>5812</v>
      </c>
      <c r="N269" s="1">
        <v>399</v>
      </c>
      <c r="O269" s="7">
        <v>5413</v>
      </c>
      <c r="P269" s="7">
        <v>1200</v>
      </c>
      <c r="Q269" s="1"/>
    </row>
    <row r="270" spans="1:17" x14ac:dyDescent="0.3">
      <c r="A270" s="10" t="s">
        <v>334</v>
      </c>
      <c r="B270" s="1">
        <v>2142</v>
      </c>
      <c r="C270" s="1">
        <v>2321</v>
      </c>
      <c r="D270" s="1">
        <v>291</v>
      </c>
      <c r="E270" s="10" t="s">
        <v>78</v>
      </c>
      <c r="F270" s="10" t="s">
        <v>78</v>
      </c>
      <c r="G270" s="10" t="s">
        <v>78</v>
      </c>
      <c r="H270" s="1">
        <v>4754</v>
      </c>
      <c r="I270" s="1">
        <v>189</v>
      </c>
      <c r="J270" s="1">
        <v>4565</v>
      </c>
      <c r="K270" s="1">
        <v>2758</v>
      </c>
      <c r="L270" s="1">
        <v>2494</v>
      </c>
      <c r="M270" s="1">
        <v>4829</v>
      </c>
      <c r="N270" s="1">
        <v>366</v>
      </c>
      <c r="O270" s="7">
        <v>4463</v>
      </c>
      <c r="P270" s="7">
        <v>264</v>
      </c>
      <c r="Q270" s="1"/>
    </row>
    <row r="271" spans="1:17" x14ac:dyDescent="0.3">
      <c r="A271" s="10" t="s">
        <v>335</v>
      </c>
      <c r="B271" s="1">
        <v>2795</v>
      </c>
      <c r="C271" s="1">
        <v>2397</v>
      </c>
      <c r="D271" s="1">
        <v>264</v>
      </c>
      <c r="E271" s="10" t="s">
        <v>78</v>
      </c>
      <c r="F271" s="10" t="s">
        <v>78</v>
      </c>
      <c r="G271" s="10" t="s">
        <v>78</v>
      </c>
      <c r="H271" s="1">
        <v>5456</v>
      </c>
      <c r="I271" s="1">
        <v>238</v>
      </c>
      <c r="J271" s="1">
        <v>5218</v>
      </c>
      <c r="K271" s="1">
        <v>2143</v>
      </c>
      <c r="L271" s="1">
        <v>2421</v>
      </c>
      <c r="M271" s="1">
        <v>4940</v>
      </c>
      <c r="N271" s="1">
        <v>353</v>
      </c>
      <c r="O271" s="7">
        <v>4587</v>
      </c>
      <c r="P271" s="7">
        <v>-278</v>
      </c>
      <c r="Q271" s="1"/>
    </row>
    <row r="272" spans="1:17" x14ac:dyDescent="0.3">
      <c r="A272" s="10" t="s">
        <v>336</v>
      </c>
      <c r="B272" s="1">
        <v>3392</v>
      </c>
      <c r="C272" s="1">
        <v>1561</v>
      </c>
      <c r="D272" s="1">
        <v>257</v>
      </c>
      <c r="E272" s="10" t="s">
        <v>78</v>
      </c>
      <c r="F272" s="10" t="s">
        <v>78</v>
      </c>
      <c r="G272" s="10" t="s">
        <v>78</v>
      </c>
      <c r="H272" s="1">
        <v>5210</v>
      </c>
      <c r="I272" s="1">
        <v>332</v>
      </c>
      <c r="J272" s="1">
        <v>4878</v>
      </c>
      <c r="K272" s="1">
        <v>2265</v>
      </c>
      <c r="L272" s="1">
        <v>2489</v>
      </c>
      <c r="M272" s="1">
        <v>4654</v>
      </c>
      <c r="N272" s="1">
        <v>312</v>
      </c>
      <c r="O272" s="7">
        <v>4342</v>
      </c>
      <c r="P272" s="7">
        <v>-224</v>
      </c>
    </row>
    <row r="273" spans="1:16" x14ac:dyDescent="0.3">
      <c r="A273" s="10" t="s">
        <v>337</v>
      </c>
      <c r="B273" s="1">
        <v>3663</v>
      </c>
      <c r="C273" s="1">
        <v>2057</v>
      </c>
      <c r="D273" s="1">
        <v>310</v>
      </c>
      <c r="E273" s="10" t="s">
        <v>78</v>
      </c>
      <c r="F273" s="10" t="s">
        <v>78</v>
      </c>
      <c r="G273" s="10" t="s">
        <v>78</v>
      </c>
      <c r="H273" s="1">
        <v>6030</v>
      </c>
      <c r="I273" s="1">
        <v>376</v>
      </c>
      <c r="J273" s="1">
        <v>5654</v>
      </c>
      <c r="K273" s="1">
        <v>2124</v>
      </c>
      <c r="L273" s="1">
        <v>3135</v>
      </c>
      <c r="M273" s="1">
        <v>4643</v>
      </c>
      <c r="N273" s="1">
        <v>349</v>
      </c>
      <c r="O273" s="7">
        <v>4294</v>
      </c>
      <c r="P273" s="7">
        <v>-1011</v>
      </c>
    </row>
    <row r="274" spans="1:16" x14ac:dyDescent="0.3">
      <c r="A274" s="10" t="s">
        <v>338</v>
      </c>
      <c r="B274" s="1">
        <v>3518</v>
      </c>
      <c r="C274" s="1">
        <v>1151</v>
      </c>
      <c r="D274" s="1">
        <v>285</v>
      </c>
      <c r="E274" s="10" t="s">
        <v>78</v>
      </c>
      <c r="F274" s="10" t="s">
        <v>78</v>
      </c>
      <c r="G274" s="10" t="s">
        <v>78</v>
      </c>
      <c r="H274" s="1">
        <v>4954</v>
      </c>
      <c r="I274" s="1">
        <v>315</v>
      </c>
      <c r="J274" s="1">
        <v>4639</v>
      </c>
      <c r="K274" s="1">
        <v>2181</v>
      </c>
      <c r="L274" s="1">
        <v>2098</v>
      </c>
      <c r="M274" s="1">
        <v>4722</v>
      </c>
      <c r="N274" s="1">
        <v>348</v>
      </c>
      <c r="O274" s="7">
        <v>4374</v>
      </c>
      <c r="P274" s="7">
        <v>83</v>
      </c>
    </row>
    <row r="275" spans="1:16" x14ac:dyDescent="0.3">
      <c r="A275" s="10" t="s">
        <v>339</v>
      </c>
      <c r="B275" s="1">
        <v>3539</v>
      </c>
      <c r="C275" s="1">
        <v>1835</v>
      </c>
      <c r="D275" s="1">
        <v>269</v>
      </c>
      <c r="E275" s="10" t="s">
        <v>78</v>
      </c>
      <c r="F275" s="10" t="s">
        <v>78</v>
      </c>
      <c r="G275" s="10" t="s">
        <v>78</v>
      </c>
      <c r="H275" s="1">
        <v>5643</v>
      </c>
      <c r="I275" s="1">
        <v>195</v>
      </c>
      <c r="J275" s="1">
        <v>5448</v>
      </c>
      <c r="K275" s="1">
        <v>1852</v>
      </c>
      <c r="L275" s="1">
        <v>2495</v>
      </c>
      <c r="M275" s="1">
        <v>4805</v>
      </c>
      <c r="N275" s="1">
        <v>335</v>
      </c>
      <c r="O275" s="7">
        <v>4470</v>
      </c>
      <c r="P275" s="7">
        <v>-643</v>
      </c>
    </row>
    <row r="276" spans="1:16" x14ac:dyDescent="0.3">
      <c r="A276" s="10" t="s">
        <v>340</v>
      </c>
      <c r="B276" s="1">
        <v>2772</v>
      </c>
      <c r="C276" s="1">
        <v>2397</v>
      </c>
      <c r="D276" s="1">
        <v>286</v>
      </c>
      <c r="E276" s="10" t="s">
        <v>78</v>
      </c>
      <c r="F276" s="10" t="s">
        <v>78</v>
      </c>
      <c r="G276" s="10" t="s">
        <v>78</v>
      </c>
      <c r="H276" s="1">
        <v>5455</v>
      </c>
      <c r="I276" s="1">
        <v>122</v>
      </c>
      <c r="J276" s="1">
        <v>5333</v>
      </c>
      <c r="K276" s="1">
        <v>3028</v>
      </c>
      <c r="L276" s="1">
        <v>3135</v>
      </c>
      <c r="M276" s="1">
        <v>5226</v>
      </c>
      <c r="N276" s="1">
        <v>379</v>
      </c>
      <c r="O276" s="7">
        <v>4847</v>
      </c>
      <c r="P276" s="7">
        <v>-107</v>
      </c>
    </row>
    <row r="277" spans="1:16" x14ac:dyDescent="0.3">
      <c r="A277" s="10" t="s">
        <v>341</v>
      </c>
      <c r="B277" s="1">
        <v>2535</v>
      </c>
      <c r="C277" s="1">
        <v>2361</v>
      </c>
      <c r="D277" s="1">
        <v>300</v>
      </c>
      <c r="E277" s="10" t="s">
        <v>78</v>
      </c>
      <c r="F277" s="10" t="s">
        <v>78</v>
      </c>
      <c r="G277" s="10" t="s">
        <v>78</v>
      </c>
      <c r="H277" s="1">
        <v>5196</v>
      </c>
      <c r="I277" s="1">
        <v>120</v>
      </c>
      <c r="J277" s="1">
        <v>5076</v>
      </c>
      <c r="K277" s="1">
        <v>3532</v>
      </c>
      <c r="L277" s="1">
        <v>2988</v>
      </c>
      <c r="M277" s="1">
        <v>5620</v>
      </c>
      <c r="N277" s="1">
        <v>378</v>
      </c>
      <c r="O277" s="7">
        <v>5242</v>
      </c>
      <c r="P277" s="7">
        <v>544</v>
      </c>
    </row>
    <row r="278" spans="1:16" x14ac:dyDescent="0.3">
      <c r="A278" s="10" t="s">
        <v>342</v>
      </c>
      <c r="B278" s="1">
        <v>2527</v>
      </c>
      <c r="C278" s="1">
        <v>2442</v>
      </c>
      <c r="D278" s="1">
        <v>311</v>
      </c>
      <c r="E278" s="10" t="s">
        <v>78</v>
      </c>
      <c r="F278" s="10" t="s">
        <v>78</v>
      </c>
      <c r="G278" s="10" t="s">
        <v>78</v>
      </c>
      <c r="H278" s="1">
        <v>5280</v>
      </c>
      <c r="I278" s="1">
        <v>169</v>
      </c>
      <c r="J278" s="1">
        <v>5111</v>
      </c>
      <c r="K278" s="1">
        <v>3800</v>
      </c>
      <c r="L278" s="1">
        <v>2980</v>
      </c>
      <c r="M278" s="1">
        <v>5931</v>
      </c>
      <c r="N278" s="1">
        <v>398</v>
      </c>
      <c r="O278" s="7">
        <v>5533</v>
      </c>
      <c r="P278" s="7">
        <v>820</v>
      </c>
    </row>
    <row r="279" spans="1:16" x14ac:dyDescent="0.3">
      <c r="A279" s="10" t="s">
        <v>343</v>
      </c>
      <c r="B279" s="1">
        <v>2796</v>
      </c>
      <c r="C279" s="1">
        <v>2437</v>
      </c>
      <c r="D279" s="1">
        <v>310</v>
      </c>
      <c r="E279" s="10" t="s">
        <v>78</v>
      </c>
      <c r="F279" s="10" t="s">
        <v>78</v>
      </c>
      <c r="G279" s="10" t="s">
        <v>78</v>
      </c>
      <c r="H279" s="1">
        <v>5543</v>
      </c>
      <c r="I279" s="1">
        <v>133</v>
      </c>
      <c r="J279" s="1">
        <v>5410</v>
      </c>
      <c r="K279" s="1">
        <v>3616</v>
      </c>
      <c r="L279" s="1">
        <v>2900</v>
      </c>
      <c r="M279" s="1">
        <v>6126</v>
      </c>
      <c r="N279" s="1">
        <v>386</v>
      </c>
      <c r="O279" s="7">
        <v>5740</v>
      </c>
      <c r="P279" s="7">
        <v>716</v>
      </c>
    </row>
    <row r="280" spans="1:16" x14ac:dyDescent="0.3">
      <c r="A280" s="10" t="s">
        <v>344</v>
      </c>
      <c r="B280" s="1">
        <v>2835</v>
      </c>
      <c r="C280" s="1">
        <v>2276</v>
      </c>
      <c r="D280" s="1">
        <v>309</v>
      </c>
      <c r="E280" s="10" t="s">
        <v>78</v>
      </c>
      <c r="F280" s="10" t="s">
        <v>78</v>
      </c>
      <c r="G280" s="10" t="s">
        <v>78</v>
      </c>
      <c r="H280" s="1">
        <v>5420</v>
      </c>
      <c r="I280" s="1">
        <v>92</v>
      </c>
      <c r="J280" s="1">
        <v>5328</v>
      </c>
      <c r="K280" s="1">
        <v>3585</v>
      </c>
      <c r="L280" s="1">
        <v>2661</v>
      </c>
      <c r="M280" s="1">
        <v>6252</v>
      </c>
      <c r="N280" s="1">
        <v>440</v>
      </c>
      <c r="O280" s="7">
        <v>5812</v>
      </c>
      <c r="P280" s="7">
        <v>924</v>
      </c>
    </row>
    <row r="281" spans="1:16" x14ac:dyDescent="0.3">
      <c r="A281" s="10" t="s">
        <v>345</v>
      </c>
      <c r="B281" s="1">
        <v>2148</v>
      </c>
      <c r="C281" s="1">
        <v>2357</v>
      </c>
      <c r="D281" s="1">
        <v>349</v>
      </c>
      <c r="E281" s="10" t="s">
        <v>78</v>
      </c>
      <c r="F281" s="10" t="s">
        <v>78</v>
      </c>
      <c r="G281" s="10" t="s">
        <v>78</v>
      </c>
      <c r="H281" s="1">
        <v>4854</v>
      </c>
      <c r="I281" s="1">
        <v>157</v>
      </c>
      <c r="J281" s="1">
        <v>4697</v>
      </c>
      <c r="K281" s="1">
        <v>3777</v>
      </c>
      <c r="L281" s="1">
        <v>2883</v>
      </c>
      <c r="M281" s="1">
        <v>5591</v>
      </c>
      <c r="N281" s="1">
        <v>384</v>
      </c>
      <c r="O281" s="7">
        <v>5207</v>
      </c>
      <c r="P281" s="7">
        <v>894</v>
      </c>
    </row>
    <row r="282" spans="1:16" x14ac:dyDescent="0.3">
      <c r="A282" s="10" t="s">
        <v>346</v>
      </c>
      <c r="B282" s="1">
        <v>2445</v>
      </c>
      <c r="C282" s="1">
        <v>2222</v>
      </c>
      <c r="D282" s="1">
        <v>297</v>
      </c>
      <c r="E282" s="10" t="s">
        <v>78</v>
      </c>
      <c r="F282" s="10" t="s">
        <v>78</v>
      </c>
      <c r="G282" s="10" t="s">
        <v>78</v>
      </c>
      <c r="H282" s="1">
        <v>4964</v>
      </c>
      <c r="I282" s="1">
        <v>174</v>
      </c>
      <c r="J282" s="1">
        <v>4790</v>
      </c>
      <c r="K282" s="1">
        <v>2749</v>
      </c>
      <c r="L282" s="1">
        <v>2507</v>
      </c>
      <c r="M282" s="1">
        <v>5032</v>
      </c>
      <c r="N282" s="1">
        <v>381</v>
      </c>
      <c r="O282" s="7">
        <v>4651</v>
      </c>
      <c r="P282" s="7">
        <v>242</v>
      </c>
    </row>
    <row r="283" spans="1:16" x14ac:dyDescent="0.3">
      <c r="A283" s="10" t="s">
        <v>347</v>
      </c>
      <c r="B283" s="1">
        <v>3771</v>
      </c>
      <c r="C283" s="1">
        <v>2291</v>
      </c>
      <c r="D283" s="1">
        <v>326</v>
      </c>
      <c r="E283" s="10" t="s">
        <v>78</v>
      </c>
      <c r="F283" s="10" t="s">
        <v>78</v>
      </c>
      <c r="G283" s="10" t="s">
        <v>78</v>
      </c>
      <c r="H283" s="1">
        <v>6388</v>
      </c>
      <c r="I283" s="1">
        <v>227</v>
      </c>
      <c r="J283" s="1">
        <v>6161</v>
      </c>
      <c r="K283" s="1">
        <v>1537</v>
      </c>
      <c r="L283" s="1">
        <v>2906</v>
      </c>
      <c r="M283" s="1">
        <v>4792</v>
      </c>
      <c r="N283" s="1">
        <v>343</v>
      </c>
      <c r="O283" s="7">
        <v>4449</v>
      </c>
      <c r="P283" s="7">
        <v>-1369</v>
      </c>
    </row>
    <row r="284" spans="1:16" x14ac:dyDescent="0.3">
      <c r="A284" s="10" t="s">
        <v>348</v>
      </c>
      <c r="B284" s="1">
        <v>4486</v>
      </c>
      <c r="C284" s="1">
        <v>1508</v>
      </c>
      <c r="D284" s="1">
        <v>293</v>
      </c>
      <c r="E284" s="10" t="s">
        <v>78</v>
      </c>
      <c r="F284" s="10" t="s">
        <v>78</v>
      </c>
      <c r="G284" s="10" t="s">
        <v>78</v>
      </c>
      <c r="H284" s="1">
        <v>6287</v>
      </c>
      <c r="I284" s="1">
        <v>360</v>
      </c>
      <c r="J284" s="1">
        <v>5927</v>
      </c>
      <c r="K284" s="1">
        <v>1680</v>
      </c>
      <c r="L284" s="1">
        <v>2948</v>
      </c>
      <c r="M284" s="1">
        <v>4659</v>
      </c>
      <c r="N284" s="1">
        <v>313</v>
      </c>
      <c r="O284" s="7">
        <v>4346</v>
      </c>
      <c r="P284" s="7">
        <v>-1268</v>
      </c>
    </row>
    <row r="285" spans="1:16" x14ac:dyDescent="0.3">
      <c r="A285" s="10" t="s">
        <v>349</v>
      </c>
      <c r="B285" s="1">
        <v>4560</v>
      </c>
      <c r="C285" s="1">
        <v>2236</v>
      </c>
      <c r="D285" s="1">
        <v>320</v>
      </c>
      <c r="E285" s="10" t="s">
        <v>78</v>
      </c>
      <c r="F285" s="10" t="s">
        <v>78</v>
      </c>
      <c r="G285" s="10" t="s">
        <v>78</v>
      </c>
      <c r="H285" s="1">
        <v>7116</v>
      </c>
      <c r="I285" s="1">
        <v>317</v>
      </c>
      <c r="J285" s="1">
        <v>6799</v>
      </c>
      <c r="K285" s="1">
        <v>1269</v>
      </c>
      <c r="L285" s="1">
        <v>3434</v>
      </c>
      <c r="M285" s="1">
        <v>4634</v>
      </c>
      <c r="N285" s="1">
        <v>348</v>
      </c>
      <c r="O285" s="7">
        <v>4286</v>
      </c>
      <c r="P285" s="7">
        <v>-2165</v>
      </c>
    </row>
    <row r="286" spans="1:16" x14ac:dyDescent="0.3">
      <c r="A286" s="10" t="s">
        <v>350</v>
      </c>
      <c r="B286" s="1">
        <v>4244</v>
      </c>
      <c r="C286" s="1">
        <v>1351</v>
      </c>
      <c r="D286" s="1">
        <v>309</v>
      </c>
      <c r="E286" s="10" t="s">
        <v>78</v>
      </c>
      <c r="F286" s="10" t="s">
        <v>78</v>
      </c>
      <c r="G286" s="10" t="s">
        <v>78</v>
      </c>
      <c r="H286" s="1">
        <v>5904</v>
      </c>
      <c r="I286" s="1">
        <v>288</v>
      </c>
      <c r="J286" s="1">
        <v>5616</v>
      </c>
      <c r="K286" s="1">
        <v>1498</v>
      </c>
      <c r="L286" s="1">
        <v>2406</v>
      </c>
      <c r="M286" s="1">
        <v>4708</v>
      </c>
      <c r="N286" s="1">
        <v>347</v>
      </c>
      <c r="O286" s="7">
        <v>4361</v>
      </c>
      <c r="P286" s="7">
        <v>-908</v>
      </c>
    </row>
    <row r="287" spans="1:16" x14ac:dyDescent="0.3">
      <c r="A287" s="10" t="s">
        <v>351</v>
      </c>
      <c r="B287" s="1">
        <v>3426</v>
      </c>
      <c r="C287" s="1">
        <v>1296</v>
      </c>
      <c r="D287" s="1">
        <v>287</v>
      </c>
      <c r="E287" s="10" t="s">
        <v>78</v>
      </c>
      <c r="F287" s="10" t="s">
        <v>78</v>
      </c>
      <c r="G287" s="10" t="s">
        <v>78</v>
      </c>
      <c r="H287" s="1">
        <v>5009</v>
      </c>
      <c r="I287" s="1">
        <v>185</v>
      </c>
      <c r="J287" s="1">
        <v>4824</v>
      </c>
      <c r="K287" s="1">
        <v>2540</v>
      </c>
      <c r="L287" s="1">
        <v>2621</v>
      </c>
      <c r="M287" s="1">
        <v>4743</v>
      </c>
      <c r="N287" s="1">
        <v>331</v>
      </c>
      <c r="O287" s="7">
        <v>4412</v>
      </c>
      <c r="P287" s="7">
        <v>-81</v>
      </c>
    </row>
    <row r="288" spans="1:16" x14ac:dyDescent="0.3">
      <c r="A288" s="10" t="s">
        <v>352</v>
      </c>
      <c r="B288" s="1">
        <v>3414</v>
      </c>
      <c r="C288" s="1">
        <v>1567</v>
      </c>
      <c r="D288" s="1">
        <v>295</v>
      </c>
      <c r="E288" s="10" t="s">
        <v>78</v>
      </c>
      <c r="F288" s="10" t="s">
        <v>78</v>
      </c>
      <c r="G288" s="10" t="s">
        <v>78</v>
      </c>
      <c r="H288" s="1">
        <v>5276</v>
      </c>
      <c r="I288" s="1">
        <v>141</v>
      </c>
      <c r="J288" s="1">
        <v>5135</v>
      </c>
      <c r="K288" s="1">
        <v>3280</v>
      </c>
      <c r="L288" s="1">
        <v>3121</v>
      </c>
      <c r="M288" s="1">
        <v>5294</v>
      </c>
      <c r="N288" s="1">
        <v>384</v>
      </c>
      <c r="O288" s="7">
        <v>4910</v>
      </c>
      <c r="P288" s="7">
        <v>159</v>
      </c>
    </row>
    <row r="289" spans="1:17" x14ac:dyDescent="0.3">
      <c r="A289" s="10" t="s">
        <v>353</v>
      </c>
      <c r="B289" s="1">
        <v>2865</v>
      </c>
      <c r="C289" s="1">
        <v>2362</v>
      </c>
      <c r="D289" s="1">
        <v>344</v>
      </c>
      <c r="E289" s="10" t="s">
        <v>78</v>
      </c>
      <c r="F289" s="10" t="s">
        <v>78</v>
      </c>
      <c r="G289" s="10" t="s">
        <v>78</v>
      </c>
      <c r="H289" s="1">
        <v>5571</v>
      </c>
      <c r="I289" s="1">
        <v>147</v>
      </c>
      <c r="J289" s="1">
        <v>5424</v>
      </c>
      <c r="K289" s="1">
        <v>3041</v>
      </c>
      <c r="L289" s="1">
        <v>2884</v>
      </c>
      <c r="M289" s="1">
        <v>5581</v>
      </c>
      <c r="N289" s="1">
        <v>376</v>
      </c>
      <c r="O289" s="7">
        <v>5205</v>
      </c>
      <c r="P289" s="7">
        <v>157</v>
      </c>
    </row>
    <row r="290" spans="1:17" x14ac:dyDescent="0.3">
      <c r="A290" s="10" t="s">
        <v>354</v>
      </c>
      <c r="B290" s="1">
        <v>2916</v>
      </c>
      <c r="C290" s="1">
        <v>2442</v>
      </c>
      <c r="D290" s="1">
        <v>329</v>
      </c>
      <c r="E290" s="10" t="s">
        <v>78</v>
      </c>
      <c r="F290" s="10" t="s">
        <v>78</v>
      </c>
      <c r="G290" s="10" t="s">
        <v>78</v>
      </c>
      <c r="H290" s="1">
        <v>5687</v>
      </c>
      <c r="I290" s="1">
        <v>190</v>
      </c>
      <c r="J290" s="1">
        <v>5497</v>
      </c>
      <c r="K290" s="1">
        <v>2977</v>
      </c>
      <c r="L290" s="1">
        <v>2478</v>
      </c>
      <c r="M290" s="1">
        <v>5996</v>
      </c>
      <c r="N290" s="1">
        <v>402</v>
      </c>
      <c r="O290" s="7">
        <v>5594</v>
      </c>
      <c r="P290" s="7">
        <v>499</v>
      </c>
    </row>
    <row r="291" spans="1:17" x14ac:dyDescent="0.3">
      <c r="A291" s="10" t="s">
        <v>355</v>
      </c>
      <c r="B291" s="1">
        <v>3112</v>
      </c>
      <c r="C291" s="1">
        <v>2421</v>
      </c>
      <c r="D291" s="1">
        <v>343</v>
      </c>
      <c r="E291" s="10" t="s">
        <v>78</v>
      </c>
      <c r="F291" s="10" t="s">
        <v>78</v>
      </c>
      <c r="G291" s="10" t="s">
        <v>78</v>
      </c>
      <c r="H291" s="1">
        <v>5876</v>
      </c>
      <c r="I291" s="1">
        <v>101</v>
      </c>
      <c r="J291" s="1">
        <v>5775</v>
      </c>
      <c r="K291" s="1">
        <v>3240</v>
      </c>
      <c r="L291" s="1">
        <v>2834</v>
      </c>
      <c r="M291" s="1">
        <v>6181</v>
      </c>
      <c r="N291" s="1">
        <v>389</v>
      </c>
      <c r="O291" s="7">
        <v>5792</v>
      </c>
      <c r="P291" s="7">
        <v>406</v>
      </c>
    </row>
    <row r="292" spans="1:17" x14ac:dyDescent="0.3">
      <c r="A292" s="10" t="s">
        <v>356</v>
      </c>
      <c r="B292" s="1">
        <v>3003</v>
      </c>
      <c r="C292" s="1">
        <v>2214</v>
      </c>
      <c r="D292" s="1">
        <v>342</v>
      </c>
      <c r="E292" s="10" t="s">
        <v>78</v>
      </c>
      <c r="F292" s="10" t="s">
        <v>78</v>
      </c>
      <c r="G292" s="10" t="s">
        <v>78</v>
      </c>
      <c r="H292" s="1">
        <v>5559</v>
      </c>
      <c r="I292" s="1">
        <v>69</v>
      </c>
      <c r="J292" s="1">
        <v>5490</v>
      </c>
      <c r="K292" s="1">
        <v>3271</v>
      </c>
      <c r="L292" s="1">
        <v>2922</v>
      </c>
      <c r="M292" s="1">
        <v>5839</v>
      </c>
      <c r="N292" s="1">
        <v>411</v>
      </c>
      <c r="O292" s="7">
        <v>5428</v>
      </c>
      <c r="P292" s="7">
        <v>349</v>
      </c>
    </row>
    <row r="293" spans="1:17" x14ac:dyDescent="0.3">
      <c r="A293" s="10" t="s">
        <v>357</v>
      </c>
      <c r="B293" s="1">
        <v>2333</v>
      </c>
      <c r="C293" s="1">
        <v>2437</v>
      </c>
      <c r="D293" s="1">
        <v>369</v>
      </c>
      <c r="E293" s="10" t="s">
        <v>78</v>
      </c>
      <c r="F293" s="10" t="s">
        <v>78</v>
      </c>
      <c r="G293" s="10" t="s">
        <v>78</v>
      </c>
      <c r="H293" s="1">
        <v>5139</v>
      </c>
      <c r="I293" s="1">
        <v>87</v>
      </c>
      <c r="J293" s="1">
        <v>5052</v>
      </c>
      <c r="K293" s="1">
        <v>3268</v>
      </c>
      <c r="L293" s="1">
        <v>2399</v>
      </c>
      <c r="M293" s="1">
        <v>5921</v>
      </c>
      <c r="N293" s="1">
        <v>408</v>
      </c>
      <c r="O293" s="7">
        <v>5513</v>
      </c>
      <c r="P293" s="7">
        <v>869</v>
      </c>
    </row>
    <row r="294" spans="1:17" x14ac:dyDescent="0.3">
      <c r="A294" s="10" t="s">
        <v>358</v>
      </c>
      <c r="B294" s="1">
        <v>2419</v>
      </c>
      <c r="C294" s="1">
        <v>2352</v>
      </c>
      <c r="D294" s="1">
        <v>341</v>
      </c>
      <c r="E294" s="10" t="s">
        <v>78</v>
      </c>
      <c r="F294" s="10" t="s">
        <v>78</v>
      </c>
      <c r="G294" s="10" t="s">
        <v>78</v>
      </c>
      <c r="H294" s="1">
        <v>5112</v>
      </c>
      <c r="I294" s="1">
        <v>124</v>
      </c>
      <c r="J294" s="1">
        <v>4988</v>
      </c>
      <c r="K294" s="1">
        <v>2362</v>
      </c>
      <c r="L294" s="1">
        <v>2182</v>
      </c>
      <c r="M294" s="1">
        <v>5168</v>
      </c>
      <c r="N294" s="1">
        <v>391</v>
      </c>
      <c r="O294" s="7">
        <v>4777</v>
      </c>
      <c r="P294" s="7">
        <v>180</v>
      </c>
    </row>
    <row r="295" spans="1:17" x14ac:dyDescent="0.3">
      <c r="A295" s="10" t="s">
        <v>359</v>
      </c>
      <c r="B295" s="1">
        <v>4038</v>
      </c>
      <c r="C295" s="1">
        <v>1713</v>
      </c>
      <c r="D295" s="1">
        <v>332</v>
      </c>
      <c r="E295" s="10" t="s">
        <v>78</v>
      </c>
      <c r="F295" s="10" t="s">
        <v>78</v>
      </c>
      <c r="G295" s="10" t="s">
        <v>78</v>
      </c>
      <c r="H295" s="1">
        <v>6083</v>
      </c>
      <c r="I295" s="1">
        <v>146</v>
      </c>
      <c r="J295" s="1">
        <v>5937</v>
      </c>
      <c r="K295" s="1">
        <v>1826</v>
      </c>
      <c r="L295" s="1">
        <v>2837</v>
      </c>
      <c r="M295" s="1">
        <v>4926</v>
      </c>
      <c r="N295" s="1">
        <v>353</v>
      </c>
      <c r="O295" s="7">
        <v>4573</v>
      </c>
      <c r="P295" s="7">
        <v>-1011</v>
      </c>
    </row>
    <row r="296" spans="1:17" x14ac:dyDescent="0.3">
      <c r="A296" s="10" t="s">
        <v>360</v>
      </c>
      <c r="B296" s="1">
        <v>3983</v>
      </c>
      <c r="C296" s="1">
        <v>1555</v>
      </c>
      <c r="D296" s="1">
        <v>300</v>
      </c>
      <c r="E296" s="10" t="s">
        <v>78</v>
      </c>
      <c r="F296" s="10" t="s">
        <v>78</v>
      </c>
      <c r="G296" s="10" t="s">
        <v>78</v>
      </c>
      <c r="H296" s="1">
        <v>5838</v>
      </c>
      <c r="I296" s="1">
        <v>253</v>
      </c>
      <c r="J296" s="1">
        <v>5585</v>
      </c>
      <c r="K296" s="1">
        <v>1691</v>
      </c>
      <c r="L296" s="1">
        <v>2566</v>
      </c>
      <c r="M296" s="1">
        <v>4710</v>
      </c>
      <c r="N296" s="1">
        <v>316</v>
      </c>
      <c r="O296" s="7">
        <v>4394</v>
      </c>
      <c r="P296" s="7">
        <v>-875</v>
      </c>
    </row>
    <row r="297" spans="1:17" x14ac:dyDescent="0.3">
      <c r="A297" s="10" t="s">
        <v>361</v>
      </c>
      <c r="B297" s="1">
        <v>4416</v>
      </c>
      <c r="C297" s="1">
        <v>1817</v>
      </c>
      <c r="D297" s="1">
        <v>314</v>
      </c>
      <c r="E297" s="10" t="s">
        <v>78</v>
      </c>
      <c r="F297" s="10" t="s">
        <v>78</v>
      </c>
      <c r="G297" s="10" t="s">
        <v>78</v>
      </c>
      <c r="H297" s="1">
        <v>6547</v>
      </c>
      <c r="I297" s="1">
        <v>308</v>
      </c>
      <c r="J297" s="1">
        <v>6239</v>
      </c>
      <c r="K297" s="1">
        <v>1601</v>
      </c>
      <c r="L297" s="1">
        <v>3146</v>
      </c>
      <c r="M297" s="1">
        <v>4694</v>
      </c>
      <c r="N297" s="1">
        <v>352</v>
      </c>
      <c r="O297" s="7">
        <v>4342</v>
      </c>
      <c r="P297" s="7">
        <v>-1545</v>
      </c>
    </row>
    <row r="298" spans="1:17" x14ac:dyDescent="0.3">
      <c r="A298" s="10" t="s">
        <v>362</v>
      </c>
      <c r="B298" s="1">
        <v>4035</v>
      </c>
      <c r="C298" s="1">
        <v>1710</v>
      </c>
      <c r="D298" s="1">
        <v>294</v>
      </c>
      <c r="E298" s="10" t="s">
        <v>78</v>
      </c>
      <c r="F298" s="10" t="s">
        <v>78</v>
      </c>
      <c r="G298" s="10" t="s">
        <v>78</v>
      </c>
      <c r="H298" s="1">
        <v>6039</v>
      </c>
      <c r="I298" s="1">
        <v>272</v>
      </c>
      <c r="J298" s="1">
        <v>5767</v>
      </c>
      <c r="K298" s="1">
        <v>1540</v>
      </c>
      <c r="L298" s="1">
        <v>2646</v>
      </c>
      <c r="M298" s="1">
        <v>4661</v>
      </c>
      <c r="N298" s="1">
        <v>344</v>
      </c>
      <c r="O298" s="7">
        <v>4317</v>
      </c>
      <c r="P298" s="7">
        <v>-1106</v>
      </c>
    </row>
    <row r="299" spans="1:17" x14ac:dyDescent="0.3">
      <c r="A299" s="10" t="s">
        <v>363</v>
      </c>
      <c r="B299" s="1">
        <v>3097</v>
      </c>
      <c r="C299" s="1">
        <v>1328</v>
      </c>
      <c r="D299" s="1">
        <v>280</v>
      </c>
      <c r="E299" s="10" t="s">
        <v>78</v>
      </c>
      <c r="F299" s="10" t="s">
        <v>78</v>
      </c>
      <c r="G299" s="10" t="s">
        <v>78</v>
      </c>
      <c r="H299" s="1">
        <v>4705</v>
      </c>
      <c r="I299" s="1">
        <v>245</v>
      </c>
      <c r="J299" s="1">
        <v>4460</v>
      </c>
      <c r="K299" s="1">
        <v>2345</v>
      </c>
      <c r="L299" s="1">
        <v>2048</v>
      </c>
      <c r="M299" s="1">
        <v>4757</v>
      </c>
      <c r="N299" s="1">
        <v>332</v>
      </c>
      <c r="O299" s="7">
        <v>4425</v>
      </c>
      <c r="P299" s="7">
        <v>297</v>
      </c>
      <c r="Q299" s="1"/>
    </row>
    <row r="300" spans="1:17" x14ac:dyDescent="0.3">
      <c r="A300" s="10" t="s">
        <v>364</v>
      </c>
      <c r="B300" s="1">
        <v>2953</v>
      </c>
      <c r="C300" s="1">
        <v>2454</v>
      </c>
      <c r="D300" s="1">
        <v>299</v>
      </c>
      <c r="E300" s="10" t="s">
        <v>78</v>
      </c>
      <c r="F300" s="10" t="s">
        <v>78</v>
      </c>
      <c r="G300" s="10" t="s">
        <v>78</v>
      </c>
      <c r="H300" s="1">
        <v>5706</v>
      </c>
      <c r="I300" s="1">
        <v>199</v>
      </c>
      <c r="J300" s="1">
        <v>5507</v>
      </c>
      <c r="K300" s="1">
        <v>2536</v>
      </c>
      <c r="L300" s="1">
        <v>2823</v>
      </c>
      <c r="M300" s="1">
        <v>5220</v>
      </c>
      <c r="N300" s="1">
        <v>379</v>
      </c>
      <c r="O300" s="7">
        <v>4841</v>
      </c>
      <c r="P300" s="7">
        <v>-287</v>
      </c>
      <c r="Q300" s="1"/>
    </row>
    <row r="301" spans="1:17" x14ac:dyDescent="0.3">
      <c r="A301" s="10" t="s">
        <v>365</v>
      </c>
      <c r="B301" s="1">
        <v>3297</v>
      </c>
      <c r="C301" s="1">
        <v>2394</v>
      </c>
      <c r="D301" s="1">
        <v>318</v>
      </c>
      <c r="E301" s="10" t="s">
        <v>78</v>
      </c>
      <c r="F301" s="10" t="s">
        <v>78</v>
      </c>
      <c r="G301" s="10" t="s">
        <v>78</v>
      </c>
      <c r="H301" s="1">
        <v>6009</v>
      </c>
      <c r="I301" s="1">
        <v>138</v>
      </c>
      <c r="J301" s="1">
        <v>5871</v>
      </c>
      <c r="K301" s="1">
        <v>2862</v>
      </c>
      <c r="L301" s="1">
        <v>3052</v>
      </c>
      <c r="M301" s="1">
        <v>5681</v>
      </c>
      <c r="N301" s="1">
        <v>382</v>
      </c>
      <c r="O301" s="7">
        <v>5299</v>
      </c>
      <c r="P301" s="7">
        <v>-190</v>
      </c>
      <c r="Q301" s="1"/>
    </row>
    <row r="302" spans="1:17" x14ac:dyDescent="0.3">
      <c r="A302" s="10" t="s">
        <v>366</v>
      </c>
      <c r="B302" s="1">
        <v>2886</v>
      </c>
      <c r="C302" s="1">
        <v>2476</v>
      </c>
      <c r="D302" s="1">
        <v>337</v>
      </c>
      <c r="E302" s="10" t="s">
        <v>78</v>
      </c>
      <c r="F302" s="10" t="s">
        <v>78</v>
      </c>
      <c r="G302" s="10" t="s">
        <v>78</v>
      </c>
      <c r="H302" s="1">
        <v>5699</v>
      </c>
      <c r="I302" s="1">
        <v>190</v>
      </c>
      <c r="J302" s="1">
        <v>5509</v>
      </c>
      <c r="K302" s="1">
        <v>3332</v>
      </c>
      <c r="L302" s="1">
        <v>2815</v>
      </c>
      <c r="M302" s="1">
        <v>6026</v>
      </c>
      <c r="N302" s="1">
        <v>404</v>
      </c>
      <c r="O302" s="7">
        <v>5622</v>
      </c>
      <c r="P302" s="7">
        <v>517</v>
      </c>
      <c r="Q302" s="1"/>
    </row>
    <row r="303" spans="1:17" x14ac:dyDescent="0.3">
      <c r="A303" s="10" t="s">
        <v>367</v>
      </c>
      <c r="B303" s="1">
        <v>2509</v>
      </c>
      <c r="C303" s="1">
        <v>2469</v>
      </c>
      <c r="D303" s="1">
        <v>326</v>
      </c>
      <c r="E303" s="10" t="s">
        <v>78</v>
      </c>
      <c r="F303" s="10" t="s">
        <v>78</v>
      </c>
      <c r="G303" s="10" t="s">
        <v>78</v>
      </c>
      <c r="H303" s="1">
        <v>5304</v>
      </c>
      <c r="I303" s="1">
        <v>154</v>
      </c>
      <c r="J303" s="1">
        <v>5150</v>
      </c>
      <c r="K303" s="1">
        <v>3525</v>
      </c>
      <c r="L303" s="1">
        <v>2636</v>
      </c>
      <c r="M303" s="1">
        <v>6039</v>
      </c>
      <c r="N303" s="1">
        <v>380</v>
      </c>
      <c r="O303" s="7">
        <v>5659</v>
      </c>
      <c r="P303" s="7">
        <v>889</v>
      </c>
      <c r="Q303" s="1"/>
    </row>
    <row r="304" spans="1:17" x14ac:dyDescent="0.3">
      <c r="A304" s="10" t="s">
        <v>368</v>
      </c>
      <c r="B304" s="1">
        <v>2518</v>
      </c>
      <c r="C304" s="1">
        <v>2233</v>
      </c>
      <c r="D304" s="1">
        <v>304</v>
      </c>
      <c r="E304" s="10" t="s">
        <v>78</v>
      </c>
      <c r="F304" s="10" t="s">
        <v>78</v>
      </c>
      <c r="G304" s="10" t="s">
        <v>78</v>
      </c>
      <c r="H304" s="1">
        <v>5055</v>
      </c>
      <c r="I304" s="1">
        <v>122</v>
      </c>
      <c r="J304" s="1">
        <v>4933</v>
      </c>
      <c r="K304" s="1">
        <v>3360</v>
      </c>
      <c r="L304" s="1">
        <v>2816</v>
      </c>
      <c r="M304" s="1">
        <v>5477</v>
      </c>
      <c r="N304" s="1">
        <v>386</v>
      </c>
      <c r="O304" s="7">
        <v>5091</v>
      </c>
      <c r="P304" s="7">
        <v>544</v>
      </c>
      <c r="Q304" s="1"/>
    </row>
    <row r="305" spans="1:17" x14ac:dyDescent="0.3">
      <c r="A305" s="10" t="s">
        <v>369</v>
      </c>
      <c r="B305" s="1">
        <v>2776</v>
      </c>
      <c r="C305" s="1">
        <v>2459</v>
      </c>
      <c r="D305" s="1">
        <v>378</v>
      </c>
      <c r="E305" s="10" t="s">
        <v>78</v>
      </c>
      <c r="F305" s="10" t="s">
        <v>78</v>
      </c>
      <c r="G305" s="10" t="s">
        <v>78</v>
      </c>
      <c r="H305" s="1">
        <v>5613</v>
      </c>
      <c r="I305" s="1">
        <v>126</v>
      </c>
      <c r="J305" s="1">
        <v>5487</v>
      </c>
      <c r="K305" s="1">
        <v>3248</v>
      </c>
      <c r="L305" s="1">
        <v>3151</v>
      </c>
      <c r="M305" s="1">
        <v>5584</v>
      </c>
      <c r="N305" s="1">
        <v>385</v>
      </c>
      <c r="O305" s="7">
        <v>5199</v>
      </c>
      <c r="P305" s="7">
        <v>97</v>
      </c>
      <c r="Q305" s="1"/>
    </row>
    <row r="306" spans="1:17" x14ac:dyDescent="0.3">
      <c r="A306" s="10" t="s">
        <v>370</v>
      </c>
      <c r="B306" s="1">
        <v>2932</v>
      </c>
      <c r="C306" s="1">
        <v>2257</v>
      </c>
      <c r="D306" s="1">
        <v>319</v>
      </c>
      <c r="E306" s="10" t="s">
        <v>78</v>
      </c>
      <c r="F306" s="10" t="s">
        <v>78</v>
      </c>
      <c r="G306" s="10" t="s">
        <v>78</v>
      </c>
      <c r="H306" s="1">
        <v>5508</v>
      </c>
      <c r="I306" s="1">
        <v>140</v>
      </c>
      <c r="J306" s="1">
        <v>5368</v>
      </c>
      <c r="K306" s="1">
        <v>1818</v>
      </c>
      <c r="L306" s="1">
        <v>2344</v>
      </c>
      <c r="M306" s="1">
        <v>4842</v>
      </c>
      <c r="N306" s="1">
        <v>366</v>
      </c>
      <c r="O306" s="7">
        <v>4476</v>
      </c>
      <c r="P306" s="7">
        <v>-526</v>
      </c>
      <c r="Q306" s="1"/>
    </row>
    <row r="307" spans="1:17" x14ac:dyDescent="0.3">
      <c r="A307" s="10" t="s">
        <v>371</v>
      </c>
      <c r="B307" s="1">
        <v>3525</v>
      </c>
      <c r="C307" s="1">
        <v>2449</v>
      </c>
      <c r="D307" s="1">
        <v>318</v>
      </c>
      <c r="E307" s="10" t="s">
        <v>78</v>
      </c>
      <c r="F307" s="10" t="s">
        <v>78</v>
      </c>
      <c r="G307" s="10" t="s">
        <v>78</v>
      </c>
      <c r="H307" s="1">
        <v>6292</v>
      </c>
      <c r="I307" s="1">
        <v>226</v>
      </c>
      <c r="J307" s="1">
        <v>6066</v>
      </c>
      <c r="K307" s="1">
        <v>1531</v>
      </c>
      <c r="L307" s="1">
        <v>2730</v>
      </c>
      <c r="M307" s="1">
        <v>4867</v>
      </c>
      <c r="N307" s="1">
        <v>349</v>
      </c>
      <c r="O307" s="7">
        <v>4518</v>
      </c>
      <c r="P307" s="7">
        <v>-1199</v>
      </c>
      <c r="Q307" s="1"/>
    </row>
    <row r="308" spans="1:17" x14ac:dyDescent="0.3">
      <c r="A308" s="10" t="s">
        <v>372</v>
      </c>
      <c r="B308" s="1">
        <v>3975</v>
      </c>
      <c r="C308" s="1">
        <v>1659</v>
      </c>
      <c r="D308" s="1">
        <v>309</v>
      </c>
      <c r="E308" s="10" t="s">
        <v>78</v>
      </c>
      <c r="F308" s="10" t="s">
        <v>78</v>
      </c>
      <c r="G308" s="10" t="s">
        <v>78</v>
      </c>
      <c r="H308" s="1">
        <v>5943</v>
      </c>
      <c r="I308" s="1">
        <v>337</v>
      </c>
      <c r="J308" s="1">
        <v>5606</v>
      </c>
      <c r="K308" s="1">
        <v>1596</v>
      </c>
      <c r="L308" s="1">
        <v>2657</v>
      </c>
      <c r="M308" s="1">
        <v>4545</v>
      </c>
      <c r="N308" s="1">
        <v>305</v>
      </c>
      <c r="O308" s="7">
        <v>4240</v>
      </c>
      <c r="P308" s="7">
        <v>-1061</v>
      </c>
      <c r="Q308" s="1"/>
    </row>
    <row r="309" spans="1:17" x14ac:dyDescent="0.3">
      <c r="A309" s="10" t="s">
        <v>373</v>
      </c>
      <c r="B309" s="1">
        <v>4430</v>
      </c>
      <c r="C309" s="1">
        <v>2122</v>
      </c>
      <c r="D309" s="1">
        <v>337</v>
      </c>
      <c r="E309" s="10" t="s">
        <v>78</v>
      </c>
      <c r="F309" s="10" t="s">
        <v>78</v>
      </c>
      <c r="G309" s="10" t="s">
        <v>78</v>
      </c>
      <c r="H309" s="1">
        <v>6889</v>
      </c>
      <c r="I309" s="1">
        <v>313</v>
      </c>
      <c r="J309" s="1">
        <v>6576</v>
      </c>
      <c r="K309" s="1">
        <v>1480</v>
      </c>
      <c r="L309" s="1">
        <v>3409</v>
      </c>
      <c r="M309" s="1">
        <v>4647</v>
      </c>
      <c r="N309" s="1">
        <v>348</v>
      </c>
      <c r="O309" s="7">
        <v>4299</v>
      </c>
      <c r="P309" s="7">
        <v>-1929</v>
      </c>
      <c r="Q309" s="1"/>
    </row>
    <row r="310" spans="1:17" x14ac:dyDescent="0.3">
      <c r="A310" s="10" t="s">
        <v>374</v>
      </c>
      <c r="B310" s="1">
        <v>4134</v>
      </c>
      <c r="C310" s="1">
        <v>1466</v>
      </c>
      <c r="D310" s="1">
        <v>315</v>
      </c>
      <c r="E310" s="10" t="s">
        <v>78</v>
      </c>
      <c r="F310" s="10" t="s">
        <v>78</v>
      </c>
      <c r="G310" s="10" t="s">
        <v>78</v>
      </c>
      <c r="H310" s="1">
        <v>5915</v>
      </c>
      <c r="I310" s="1">
        <v>331</v>
      </c>
      <c r="J310" s="1">
        <v>5584</v>
      </c>
      <c r="K310" s="1">
        <v>1532</v>
      </c>
      <c r="L310" s="1">
        <v>2539</v>
      </c>
      <c r="M310" s="1">
        <v>4577</v>
      </c>
      <c r="N310" s="1">
        <v>338</v>
      </c>
      <c r="O310" s="7">
        <v>4239</v>
      </c>
      <c r="P310" s="7">
        <v>-1007</v>
      </c>
      <c r="Q310" s="1"/>
    </row>
    <row r="311" spans="1:17" x14ac:dyDescent="0.3">
      <c r="A311" s="10" t="s">
        <v>375</v>
      </c>
      <c r="B311" s="1">
        <v>3174</v>
      </c>
      <c r="C311" s="1">
        <v>1956</v>
      </c>
      <c r="D311" s="1">
        <v>309</v>
      </c>
      <c r="E311" s="10" t="s">
        <v>78</v>
      </c>
      <c r="F311" s="10" t="s">
        <v>78</v>
      </c>
      <c r="G311" s="10" t="s">
        <v>78</v>
      </c>
      <c r="H311" s="1">
        <v>5439</v>
      </c>
      <c r="I311" s="1">
        <v>227</v>
      </c>
      <c r="J311" s="1">
        <v>5212</v>
      </c>
      <c r="K311" s="1">
        <v>2064</v>
      </c>
      <c r="L311" s="1">
        <v>2500</v>
      </c>
      <c r="M311" s="1">
        <v>4776</v>
      </c>
      <c r="N311" s="1">
        <v>333</v>
      </c>
      <c r="O311" s="7">
        <v>4443</v>
      </c>
      <c r="P311" s="7">
        <v>-436</v>
      </c>
      <c r="Q311" s="1"/>
    </row>
    <row r="312" spans="1:17" x14ac:dyDescent="0.3">
      <c r="A312" s="10" t="s">
        <v>376</v>
      </c>
      <c r="B312" s="1">
        <v>2963</v>
      </c>
      <c r="C312" s="1">
        <v>2441</v>
      </c>
      <c r="D312" s="1">
        <v>344</v>
      </c>
      <c r="E312" s="10" t="s">
        <v>78</v>
      </c>
      <c r="F312" s="10" t="s">
        <v>78</v>
      </c>
      <c r="G312" s="10" t="s">
        <v>78</v>
      </c>
      <c r="H312" s="1">
        <v>5748</v>
      </c>
      <c r="I312" s="1">
        <v>143</v>
      </c>
      <c r="J312" s="1">
        <v>5605</v>
      </c>
      <c r="K312" s="1">
        <v>2614</v>
      </c>
      <c r="L312" s="1">
        <v>3046</v>
      </c>
      <c r="M312" s="1">
        <v>5173</v>
      </c>
      <c r="N312" s="1">
        <v>376</v>
      </c>
      <c r="O312" s="7">
        <v>4797</v>
      </c>
      <c r="P312" s="7">
        <v>-432</v>
      </c>
      <c r="Q312" s="1"/>
    </row>
    <row r="313" spans="1:17" x14ac:dyDescent="0.3">
      <c r="A313" s="10" t="s">
        <v>377</v>
      </c>
      <c r="B313" s="1">
        <v>3246</v>
      </c>
      <c r="C313" s="1">
        <v>2385</v>
      </c>
      <c r="D313" s="1">
        <v>332</v>
      </c>
      <c r="E313" s="10" t="s">
        <v>78</v>
      </c>
      <c r="F313" s="10" t="s">
        <v>78</v>
      </c>
      <c r="G313" s="10" t="s">
        <v>78</v>
      </c>
      <c r="H313" s="1">
        <v>5963</v>
      </c>
      <c r="I313" s="1">
        <v>119</v>
      </c>
      <c r="J313" s="1">
        <v>5844</v>
      </c>
      <c r="K313" s="1">
        <v>2708</v>
      </c>
      <c r="L313" s="1">
        <v>3161</v>
      </c>
      <c r="M313" s="1">
        <v>5391</v>
      </c>
      <c r="N313" s="1">
        <v>362</v>
      </c>
      <c r="O313" s="7">
        <v>5029</v>
      </c>
      <c r="P313" s="7">
        <v>-453</v>
      </c>
      <c r="Q313" s="1"/>
    </row>
    <row r="314" spans="1:17" x14ac:dyDescent="0.3">
      <c r="A314" s="10" t="s">
        <v>378</v>
      </c>
      <c r="B314" s="1">
        <v>3126</v>
      </c>
      <c r="C314" s="1">
        <v>2474</v>
      </c>
      <c r="D314" s="1">
        <v>364</v>
      </c>
      <c r="E314" s="10" t="s">
        <v>78</v>
      </c>
      <c r="F314" s="10" t="s">
        <v>78</v>
      </c>
      <c r="G314" s="10" t="s">
        <v>78</v>
      </c>
      <c r="H314" s="1">
        <v>5964</v>
      </c>
      <c r="I314" s="1">
        <v>117</v>
      </c>
      <c r="J314" s="1">
        <v>5847</v>
      </c>
      <c r="K314" s="1">
        <v>3054</v>
      </c>
      <c r="L314" s="1">
        <v>3032</v>
      </c>
      <c r="M314" s="1">
        <v>5869</v>
      </c>
      <c r="N314" s="1">
        <v>393</v>
      </c>
      <c r="O314" s="7">
        <v>5476</v>
      </c>
      <c r="P314" s="7">
        <v>22</v>
      </c>
      <c r="Q314" s="1"/>
    </row>
    <row r="315" spans="1:17" x14ac:dyDescent="0.3">
      <c r="A315" s="10" t="s">
        <v>379</v>
      </c>
      <c r="B315" s="7">
        <v>3110</v>
      </c>
      <c r="C315" s="7">
        <v>2430</v>
      </c>
      <c r="D315" s="7">
        <v>367</v>
      </c>
      <c r="E315" s="10" t="s">
        <v>78</v>
      </c>
      <c r="F315" s="10" t="s">
        <v>78</v>
      </c>
      <c r="G315" s="10" t="s">
        <v>78</v>
      </c>
      <c r="H315" s="7">
        <v>5907</v>
      </c>
      <c r="I315" s="7">
        <v>79</v>
      </c>
      <c r="J315" s="7">
        <v>5828</v>
      </c>
      <c r="K315" s="7">
        <v>3799</v>
      </c>
      <c r="L315" s="7">
        <v>3437</v>
      </c>
      <c r="M315" s="7">
        <v>6190</v>
      </c>
      <c r="N315" s="7">
        <v>390</v>
      </c>
      <c r="O315" s="7">
        <v>5800</v>
      </c>
      <c r="P315" s="7">
        <v>362</v>
      </c>
      <c r="Q315" s="18" t="s">
        <v>331</v>
      </c>
    </row>
    <row r="316" spans="1:17" x14ac:dyDescent="0.3">
      <c r="A316" s="10" t="s">
        <v>380</v>
      </c>
      <c r="B316" s="7">
        <v>2884</v>
      </c>
      <c r="C316" s="7">
        <v>2235</v>
      </c>
      <c r="D316" s="7">
        <v>370</v>
      </c>
      <c r="E316" s="10" t="s">
        <v>78</v>
      </c>
      <c r="F316" s="10" t="s">
        <v>78</v>
      </c>
      <c r="G316" s="10" t="s">
        <v>78</v>
      </c>
      <c r="H316" s="7">
        <v>5489</v>
      </c>
      <c r="I316" s="7">
        <v>70</v>
      </c>
      <c r="J316" s="7">
        <v>5419</v>
      </c>
      <c r="K316" s="7">
        <v>3432</v>
      </c>
      <c r="L316" s="7">
        <v>3045</v>
      </c>
      <c r="M316" s="7">
        <v>5806</v>
      </c>
      <c r="N316" s="7">
        <v>409</v>
      </c>
      <c r="O316" s="7">
        <v>5397</v>
      </c>
      <c r="P316" s="7">
        <v>387</v>
      </c>
      <c r="Q316" s="18" t="s">
        <v>331</v>
      </c>
    </row>
    <row r="317" spans="1:17" x14ac:dyDescent="0.3">
      <c r="A317" s="10" t="s">
        <v>381</v>
      </c>
      <c r="B317" s="7">
        <v>2500</v>
      </c>
      <c r="C317" s="7">
        <v>2299</v>
      </c>
      <c r="D317" s="7">
        <v>363</v>
      </c>
      <c r="E317" s="10" t="s">
        <v>78</v>
      </c>
      <c r="F317" s="10" t="s">
        <v>78</v>
      </c>
      <c r="G317" s="10" t="s">
        <v>78</v>
      </c>
      <c r="H317" s="7">
        <v>5162</v>
      </c>
      <c r="I317" s="7">
        <v>122</v>
      </c>
      <c r="J317" s="7">
        <v>5040</v>
      </c>
      <c r="K317" s="7">
        <v>3381</v>
      </c>
      <c r="L317" s="7">
        <v>2742</v>
      </c>
      <c r="M317" s="7">
        <v>5679</v>
      </c>
      <c r="N317" s="7">
        <v>392</v>
      </c>
      <c r="O317" s="7">
        <v>5287</v>
      </c>
      <c r="P317" s="7">
        <v>639</v>
      </c>
      <c r="Q317" s="7"/>
    </row>
    <row r="318" spans="1:17" x14ac:dyDescent="0.3">
      <c r="A318" s="10" t="s">
        <v>382</v>
      </c>
      <c r="B318" s="7">
        <v>2704</v>
      </c>
      <c r="C318" s="7">
        <v>2010</v>
      </c>
      <c r="D318" s="7">
        <v>334</v>
      </c>
      <c r="E318" s="10" t="s">
        <v>78</v>
      </c>
      <c r="F318" s="10" t="s">
        <v>78</v>
      </c>
      <c r="G318" s="10" t="s">
        <v>78</v>
      </c>
      <c r="H318" s="7">
        <v>5048</v>
      </c>
      <c r="I318" s="7">
        <v>136</v>
      </c>
      <c r="J318" s="7">
        <v>4912</v>
      </c>
      <c r="K318" s="7">
        <v>2624</v>
      </c>
      <c r="L318" s="7">
        <v>2592</v>
      </c>
      <c r="M318" s="7">
        <v>4944</v>
      </c>
      <c r="N318" s="7">
        <v>374</v>
      </c>
      <c r="O318" s="7">
        <v>4570</v>
      </c>
      <c r="P318" s="7">
        <v>32</v>
      </c>
      <c r="Q318" s="7"/>
    </row>
    <row r="319" spans="1:17" x14ac:dyDescent="0.3">
      <c r="A319" s="10" t="s">
        <v>383</v>
      </c>
      <c r="B319" s="7">
        <v>4078</v>
      </c>
      <c r="C319" s="7">
        <v>2172</v>
      </c>
      <c r="D319" s="7">
        <v>349</v>
      </c>
      <c r="E319" s="10" t="s">
        <v>78</v>
      </c>
      <c r="F319" s="10" t="s">
        <v>78</v>
      </c>
      <c r="G319" s="10" t="s">
        <v>78</v>
      </c>
      <c r="H319" s="7">
        <v>6599</v>
      </c>
      <c r="I319" s="7">
        <v>278</v>
      </c>
      <c r="J319" s="7">
        <v>6321</v>
      </c>
      <c r="K319" s="7">
        <v>1176</v>
      </c>
      <c r="L319" s="7">
        <v>2747</v>
      </c>
      <c r="M319" s="7">
        <v>4750</v>
      </c>
      <c r="N319" s="7">
        <v>340</v>
      </c>
      <c r="O319" s="7">
        <v>4410</v>
      </c>
      <c r="P319" s="7">
        <v>-1571</v>
      </c>
      <c r="Q319" s="7"/>
    </row>
    <row r="320" spans="1:17" x14ac:dyDescent="0.3">
      <c r="A320" s="10" t="s">
        <v>384</v>
      </c>
      <c r="B320" s="7">
        <v>4585</v>
      </c>
      <c r="C320" s="7">
        <v>1494</v>
      </c>
      <c r="D320" s="7">
        <v>335</v>
      </c>
      <c r="E320" s="10" t="s">
        <v>78</v>
      </c>
      <c r="F320" s="10" t="s">
        <v>78</v>
      </c>
      <c r="G320" s="10" t="s">
        <v>78</v>
      </c>
      <c r="H320" s="7">
        <v>6414</v>
      </c>
      <c r="I320" s="7">
        <v>284</v>
      </c>
      <c r="J320" s="7">
        <v>6130</v>
      </c>
      <c r="K320" s="7">
        <v>1475</v>
      </c>
      <c r="L320" s="7">
        <v>2987</v>
      </c>
      <c r="M320" s="7">
        <v>4618</v>
      </c>
      <c r="N320" s="7">
        <v>310</v>
      </c>
      <c r="O320" s="7">
        <v>4308</v>
      </c>
      <c r="P320" s="7">
        <v>-1512</v>
      </c>
      <c r="Q320" s="7"/>
    </row>
    <row r="321" spans="1:17" x14ac:dyDescent="0.3">
      <c r="A321" s="10" t="s">
        <v>385</v>
      </c>
      <c r="B321" s="7">
        <v>4314</v>
      </c>
      <c r="C321" s="7">
        <v>1899</v>
      </c>
      <c r="D321" s="7">
        <v>359</v>
      </c>
      <c r="E321" s="10" t="s">
        <v>78</v>
      </c>
      <c r="F321" s="10" t="s">
        <v>78</v>
      </c>
      <c r="G321" s="10" t="s">
        <v>78</v>
      </c>
      <c r="H321" s="7">
        <v>6572</v>
      </c>
      <c r="I321" s="7">
        <v>325</v>
      </c>
      <c r="J321" s="7">
        <v>6247</v>
      </c>
      <c r="K321" s="7">
        <v>1848</v>
      </c>
      <c r="L321" s="7">
        <v>3406</v>
      </c>
      <c r="M321" s="7">
        <v>4689</v>
      </c>
      <c r="N321" s="7">
        <v>351</v>
      </c>
      <c r="O321" s="7">
        <v>4338</v>
      </c>
      <c r="P321" s="7">
        <v>-1558</v>
      </c>
      <c r="Q321" s="7"/>
    </row>
    <row r="322" spans="1:17" x14ac:dyDescent="0.3">
      <c r="A322" s="10" t="s">
        <v>386</v>
      </c>
      <c r="B322" s="7">
        <v>3517</v>
      </c>
      <c r="C322" s="7">
        <v>1032</v>
      </c>
      <c r="D322" s="7">
        <v>344</v>
      </c>
      <c r="E322" s="10" t="s">
        <v>78</v>
      </c>
      <c r="F322" s="10" t="s">
        <v>78</v>
      </c>
      <c r="G322" s="10" t="s">
        <v>78</v>
      </c>
      <c r="H322" s="7">
        <v>4893</v>
      </c>
      <c r="I322" s="7">
        <v>329</v>
      </c>
      <c r="J322" s="7">
        <v>4564</v>
      </c>
      <c r="K322" s="7">
        <v>2229</v>
      </c>
      <c r="L322" s="7">
        <v>2152</v>
      </c>
      <c r="M322" s="7">
        <v>4641</v>
      </c>
      <c r="N322" s="7">
        <v>342</v>
      </c>
      <c r="O322" s="7">
        <v>4299</v>
      </c>
      <c r="P322" s="7">
        <v>77</v>
      </c>
      <c r="Q322" s="18" t="s">
        <v>331</v>
      </c>
    </row>
    <row r="323" spans="1:17" x14ac:dyDescent="0.3">
      <c r="A323" s="10" t="s">
        <v>387</v>
      </c>
      <c r="B323" s="7">
        <v>3241</v>
      </c>
      <c r="C323" s="7">
        <v>1261</v>
      </c>
      <c r="D323" s="7">
        <v>331</v>
      </c>
      <c r="E323" s="10" t="s">
        <v>78</v>
      </c>
      <c r="F323" s="10" t="s">
        <v>78</v>
      </c>
      <c r="G323" s="10" t="s">
        <v>78</v>
      </c>
      <c r="H323" s="7">
        <v>4833</v>
      </c>
      <c r="I323" s="7">
        <v>246</v>
      </c>
      <c r="J323" s="7">
        <v>4587</v>
      </c>
      <c r="K323" s="7">
        <v>2683</v>
      </c>
      <c r="L323" s="7">
        <v>2446</v>
      </c>
      <c r="M323" s="7">
        <v>4824</v>
      </c>
      <c r="N323" s="7">
        <v>337</v>
      </c>
      <c r="O323" s="7">
        <v>4487</v>
      </c>
      <c r="P323" s="7">
        <v>237</v>
      </c>
      <c r="Q323" s="7"/>
    </row>
    <row r="324" spans="1:17" x14ac:dyDescent="0.3">
      <c r="A324" s="10" t="s">
        <v>388</v>
      </c>
      <c r="B324" s="1">
        <v>3278</v>
      </c>
      <c r="C324" s="1">
        <v>1478</v>
      </c>
      <c r="D324" s="1">
        <v>387</v>
      </c>
      <c r="E324" s="10" t="s">
        <v>78</v>
      </c>
      <c r="F324" s="10" t="s">
        <v>78</v>
      </c>
      <c r="G324" s="10" t="s">
        <v>78</v>
      </c>
      <c r="H324" s="1">
        <v>5143</v>
      </c>
      <c r="I324" s="1">
        <v>134</v>
      </c>
      <c r="J324" s="1">
        <v>5009</v>
      </c>
      <c r="K324" s="1">
        <v>3377</v>
      </c>
      <c r="L324" s="1">
        <v>3104</v>
      </c>
      <c r="M324" s="1">
        <v>5282</v>
      </c>
      <c r="N324" s="1">
        <v>384</v>
      </c>
      <c r="O324" s="7">
        <v>4898</v>
      </c>
      <c r="P324" s="7">
        <v>273</v>
      </c>
      <c r="Q324" s="1"/>
    </row>
    <row r="325" spans="1:17" x14ac:dyDescent="0.3">
      <c r="A325" s="10" t="s">
        <v>389</v>
      </c>
      <c r="B325" s="1">
        <v>2825</v>
      </c>
      <c r="C325" s="1">
        <v>1800</v>
      </c>
      <c r="D325" s="1">
        <v>416</v>
      </c>
      <c r="E325" s="10" t="s">
        <v>78</v>
      </c>
      <c r="F325" s="10" t="s">
        <v>78</v>
      </c>
      <c r="G325" s="10" t="s">
        <v>78</v>
      </c>
      <c r="H325" s="1">
        <v>5041</v>
      </c>
      <c r="I325" s="1">
        <v>101</v>
      </c>
      <c r="J325" s="1">
        <v>4940</v>
      </c>
      <c r="K325" s="1">
        <v>3815</v>
      </c>
      <c r="L325" s="1">
        <v>3321</v>
      </c>
      <c r="M325" s="1">
        <v>5434</v>
      </c>
      <c r="N325" s="1">
        <v>365</v>
      </c>
      <c r="O325" s="7">
        <v>5069</v>
      </c>
      <c r="P325" s="7">
        <v>494</v>
      </c>
      <c r="Q325" s="1"/>
    </row>
    <row r="326" spans="1:17" x14ac:dyDescent="0.3">
      <c r="A326" s="10" t="s">
        <v>390</v>
      </c>
      <c r="B326" s="1">
        <v>2450</v>
      </c>
      <c r="C326" s="1">
        <v>1985</v>
      </c>
      <c r="D326" s="1">
        <v>421</v>
      </c>
      <c r="E326" s="10" t="s">
        <v>78</v>
      </c>
      <c r="F326" s="10" t="s">
        <v>78</v>
      </c>
      <c r="G326" s="10" t="s">
        <v>78</v>
      </c>
      <c r="H326" s="1">
        <v>4856</v>
      </c>
      <c r="I326" s="1">
        <v>192</v>
      </c>
      <c r="J326" s="1">
        <v>4664</v>
      </c>
      <c r="K326" s="1">
        <v>4194</v>
      </c>
      <c r="L326" s="1">
        <v>3089</v>
      </c>
      <c r="M326" s="1">
        <v>5769</v>
      </c>
      <c r="N326" s="1">
        <v>386</v>
      </c>
      <c r="O326" s="7">
        <v>5383</v>
      </c>
      <c r="P326" s="7">
        <v>1105</v>
      </c>
      <c r="Q326" s="1"/>
    </row>
    <row r="327" spans="1:17" x14ac:dyDescent="0.3">
      <c r="A327" s="10" t="s">
        <v>391</v>
      </c>
      <c r="B327" s="7">
        <v>2236</v>
      </c>
      <c r="C327" s="7">
        <v>2200</v>
      </c>
      <c r="D327" s="7">
        <v>431</v>
      </c>
      <c r="E327" s="10" t="s">
        <v>78</v>
      </c>
      <c r="F327" s="10" t="s">
        <v>78</v>
      </c>
      <c r="G327" s="10" t="s">
        <v>78</v>
      </c>
      <c r="H327" s="7">
        <v>4867</v>
      </c>
      <c r="I327" s="7">
        <v>214</v>
      </c>
      <c r="J327" s="7">
        <v>4653</v>
      </c>
      <c r="K327" s="7">
        <v>4110</v>
      </c>
      <c r="L327" s="7">
        <v>2728</v>
      </c>
      <c r="M327" s="7">
        <v>6035</v>
      </c>
      <c r="N327" s="7">
        <v>380</v>
      </c>
      <c r="O327" s="7">
        <v>5655</v>
      </c>
      <c r="P327" s="7">
        <v>1382</v>
      </c>
      <c r="Q327" s="1"/>
    </row>
    <row r="328" spans="1:17" x14ac:dyDescent="0.3">
      <c r="A328" s="10" t="s">
        <v>392</v>
      </c>
      <c r="B328" s="7">
        <v>2401</v>
      </c>
      <c r="C328" s="7">
        <v>2056</v>
      </c>
      <c r="D328" s="7">
        <v>452</v>
      </c>
      <c r="E328" s="10" t="s">
        <v>78</v>
      </c>
      <c r="F328" s="10" t="s">
        <v>78</v>
      </c>
      <c r="G328" s="10" t="s">
        <v>78</v>
      </c>
      <c r="H328" s="7">
        <v>4909</v>
      </c>
      <c r="I328" s="7">
        <v>124</v>
      </c>
      <c r="J328" s="7">
        <v>4785</v>
      </c>
      <c r="K328" s="7">
        <v>3817</v>
      </c>
      <c r="L328" s="7">
        <v>2924</v>
      </c>
      <c r="M328" s="7">
        <v>5678</v>
      </c>
      <c r="N328" s="7">
        <v>400</v>
      </c>
      <c r="O328" s="7">
        <v>5278</v>
      </c>
      <c r="P328" s="7">
        <v>893</v>
      </c>
      <c r="Q328" s="1"/>
    </row>
    <row r="329" spans="1:17" x14ac:dyDescent="0.3">
      <c r="A329" s="10" t="s">
        <v>393</v>
      </c>
      <c r="B329" s="7">
        <v>2356</v>
      </c>
      <c r="C329" s="7">
        <v>2195</v>
      </c>
      <c r="D329" s="7">
        <v>468</v>
      </c>
      <c r="E329" s="10" t="s">
        <v>78</v>
      </c>
      <c r="F329" s="10" t="s">
        <v>78</v>
      </c>
      <c r="G329" s="10" t="s">
        <v>78</v>
      </c>
      <c r="H329" s="7">
        <v>5019</v>
      </c>
      <c r="I329" s="7">
        <v>166</v>
      </c>
      <c r="J329" s="7">
        <v>4853</v>
      </c>
      <c r="K329" s="7">
        <v>3853</v>
      </c>
      <c r="L329" s="7">
        <v>2953</v>
      </c>
      <c r="M329" s="7">
        <v>5753</v>
      </c>
      <c r="N329" s="7">
        <v>397</v>
      </c>
      <c r="O329" s="7">
        <v>5356</v>
      </c>
      <c r="P329" s="7">
        <v>900</v>
      </c>
      <c r="Q329" s="1"/>
    </row>
    <row r="330" spans="1:17" x14ac:dyDescent="0.3">
      <c r="A330" s="10" t="s">
        <v>394</v>
      </c>
      <c r="B330" s="7">
        <v>2931</v>
      </c>
      <c r="C330" s="7">
        <v>2115</v>
      </c>
      <c r="D330" s="7">
        <v>416</v>
      </c>
      <c r="E330" s="10" t="s">
        <v>78</v>
      </c>
      <c r="F330" s="10" t="s">
        <v>78</v>
      </c>
      <c r="G330" s="10" t="s">
        <v>78</v>
      </c>
      <c r="H330" s="7">
        <v>5462</v>
      </c>
      <c r="I330" s="7">
        <v>195</v>
      </c>
      <c r="J330" s="7">
        <v>5267</v>
      </c>
      <c r="K330" s="7">
        <v>2299</v>
      </c>
      <c r="L330" s="7">
        <v>2543</v>
      </c>
      <c r="M330" s="7">
        <v>5023</v>
      </c>
      <c r="N330" s="7">
        <v>380</v>
      </c>
      <c r="O330" s="7">
        <v>4643</v>
      </c>
      <c r="P330" s="7">
        <v>-244</v>
      </c>
      <c r="Q330" s="1"/>
    </row>
    <row r="331" spans="1:17" x14ac:dyDescent="0.3">
      <c r="A331" s="10" t="s">
        <v>395</v>
      </c>
      <c r="B331" s="7">
        <v>3396</v>
      </c>
      <c r="C331" s="7">
        <v>2162</v>
      </c>
      <c r="D331" s="7">
        <v>384</v>
      </c>
      <c r="E331" s="10" t="s">
        <v>78</v>
      </c>
      <c r="F331" s="10" t="s">
        <v>78</v>
      </c>
      <c r="G331" s="10" t="s">
        <v>78</v>
      </c>
      <c r="H331" s="7">
        <v>5942</v>
      </c>
      <c r="I331" s="7">
        <v>284</v>
      </c>
      <c r="J331" s="7">
        <v>5658</v>
      </c>
      <c r="K331" s="7">
        <v>1608</v>
      </c>
      <c r="L331" s="7">
        <v>2449</v>
      </c>
      <c r="M331" s="7">
        <v>4817</v>
      </c>
      <c r="N331" s="7">
        <v>345</v>
      </c>
      <c r="O331" s="7">
        <v>4472</v>
      </c>
      <c r="P331" s="7">
        <v>-841</v>
      </c>
      <c r="Q331" s="1"/>
    </row>
    <row r="332" spans="1:17" x14ac:dyDescent="0.3">
      <c r="A332" s="10" t="s">
        <v>396</v>
      </c>
      <c r="B332" s="7">
        <v>4545</v>
      </c>
      <c r="C332" s="7">
        <v>1508</v>
      </c>
      <c r="D332" s="7">
        <v>370</v>
      </c>
      <c r="E332" s="10" t="s">
        <v>78</v>
      </c>
      <c r="F332" s="10" t="s">
        <v>78</v>
      </c>
      <c r="G332" s="10" t="s">
        <v>78</v>
      </c>
      <c r="H332" s="7">
        <v>6423</v>
      </c>
      <c r="I332" s="7">
        <v>317</v>
      </c>
      <c r="J332" s="7">
        <v>6106</v>
      </c>
      <c r="K332" s="7">
        <v>1326</v>
      </c>
      <c r="L332" s="7">
        <v>2819</v>
      </c>
      <c r="M332" s="7">
        <v>4613</v>
      </c>
      <c r="N332" s="7">
        <v>309</v>
      </c>
      <c r="O332" s="7">
        <v>4304</v>
      </c>
      <c r="P332" s="7">
        <v>-1493</v>
      </c>
      <c r="Q332" s="1"/>
    </row>
    <row r="333" spans="1:17" x14ac:dyDescent="0.3">
      <c r="A333" s="10" t="s">
        <v>397</v>
      </c>
      <c r="B333" s="7">
        <v>4228</v>
      </c>
      <c r="C333" s="7">
        <v>2061</v>
      </c>
      <c r="D333" s="7">
        <v>391</v>
      </c>
      <c r="E333" s="10" t="s">
        <v>78</v>
      </c>
      <c r="F333" s="10" t="s">
        <v>78</v>
      </c>
      <c r="G333" s="10" t="s">
        <v>78</v>
      </c>
      <c r="H333" s="7">
        <v>6680</v>
      </c>
      <c r="I333" s="7">
        <v>385</v>
      </c>
      <c r="J333" s="7">
        <v>6295</v>
      </c>
      <c r="K333" s="7">
        <v>1728</v>
      </c>
      <c r="L333" s="7">
        <v>3489</v>
      </c>
      <c r="M333" s="7">
        <v>4534</v>
      </c>
      <c r="N333" s="7">
        <v>339</v>
      </c>
      <c r="O333" s="7">
        <v>4195</v>
      </c>
      <c r="P333" s="7">
        <v>-1761</v>
      </c>
      <c r="Q333" s="1"/>
    </row>
    <row r="334" spans="1:17" x14ac:dyDescent="0.3">
      <c r="A334" s="10" t="s">
        <v>398</v>
      </c>
      <c r="B334" s="7">
        <v>3608</v>
      </c>
      <c r="C334" s="7">
        <v>973</v>
      </c>
      <c r="D334" s="7">
        <v>405</v>
      </c>
      <c r="E334" s="10" t="s">
        <v>78</v>
      </c>
      <c r="F334" s="10" t="s">
        <v>78</v>
      </c>
      <c r="G334" s="10" t="s">
        <v>78</v>
      </c>
      <c r="H334" s="7">
        <v>4986</v>
      </c>
      <c r="I334" s="7">
        <v>344</v>
      </c>
      <c r="J334" s="7">
        <v>4642</v>
      </c>
      <c r="K334" s="7">
        <v>2405</v>
      </c>
      <c r="L334" s="7">
        <v>2480</v>
      </c>
      <c r="M334" s="7">
        <v>4567</v>
      </c>
      <c r="N334" s="7">
        <v>337</v>
      </c>
      <c r="O334" s="7">
        <v>4230</v>
      </c>
      <c r="P334" s="7">
        <v>-75</v>
      </c>
      <c r="Q334" s="1"/>
    </row>
    <row r="335" spans="1:17" x14ac:dyDescent="0.3">
      <c r="A335" s="10" t="s">
        <v>399</v>
      </c>
      <c r="B335" s="7">
        <v>3189</v>
      </c>
      <c r="C335" s="7">
        <v>1143</v>
      </c>
      <c r="D335" s="7">
        <v>416</v>
      </c>
      <c r="E335" s="10" t="s">
        <v>78</v>
      </c>
      <c r="F335" s="10" t="s">
        <v>78</v>
      </c>
      <c r="G335" s="10" t="s">
        <v>78</v>
      </c>
      <c r="H335" s="7">
        <v>4748</v>
      </c>
      <c r="I335" s="7">
        <v>255</v>
      </c>
      <c r="J335" s="7">
        <v>4493</v>
      </c>
      <c r="K335" s="7">
        <v>2662</v>
      </c>
      <c r="L335" s="7">
        <v>2500</v>
      </c>
      <c r="M335" s="7">
        <v>4655</v>
      </c>
      <c r="N335" s="7">
        <v>325</v>
      </c>
      <c r="O335" s="7">
        <v>4330</v>
      </c>
      <c r="P335" s="7">
        <v>162</v>
      </c>
      <c r="Q335" s="1"/>
    </row>
    <row r="336" spans="1:17" x14ac:dyDescent="0.3">
      <c r="A336" s="10" t="s">
        <v>400</v>
      </c>
      <c r="B336" s="1">
        <v>2304</v>
      </c>
      <c r="C336" s="1">
        <v>1280</v>
      </c>
      <c r="D336" s="1">
        <v>431</v>
      </c>
      <c r="E336" s="10" t="s">
        <v>78</v>
      </c>
      <c r="F336" s="10" t="s">
        <v>78</v>
      </c>
      <c r="G336" s="10" t="s">
        <v>78</v>
      </c>
      <c r="H336" s="1">
        <v>4015</v>
      </c>
      <c r="I336" s="1">
        <v>257</v>
      </c>
      <c r="J336" s="1">
        <v>3758</v>
      </c>
      <c r="K336" s="1">
        <v>3142</v>
      </c>
      <c r="L336" s="1">
        <v>1644</v>
      </c>
      <c r="M336" s="1">
        <v>5256</v>
      </c>
      <c r="N336" s="1">
        <v>382</v>
      </c>
      <c r="O336" s="7">
        <v>4874</v>
      </c>
      <c r="P336" s="7">
        <v>1498</v>
      </c>
    </row>
    <row r="337" spans="1:16" x14ac:dyDescent="0.3">
      <c r="A337" s="10" t="s">
        <v>401</v>
      </c>
      <c r="B337" s="1">
        <v>2328</v>
      </c>
      <c r="C337" s="1">
        <v>1250</v>
      </c>
      <c r="D337" s="1">
        <v>448</v>
      </c>
      <c r="E337" s="10" t="s">
        <v>78</v>
      </c>
      <c r="F337" s="10" t="s">
        <v>78</v>
      </c>
      <c r="G337" s="10" t="s">
        <v>78</v>
      </c>
      <c r="H337" s="1">
        <v>4026</v>
      </c>
      <c r="I337" s="1">
        <v>223</v>
      </c>
      <c r="J337" s="1">
        <v>3803</v>
      </c>
      <c r="K337" s="1">
        <v>3671</v>
      </c>
      <c r="L337" s="1">
        <v>1834</v>
      </c>
      <c r="M337" s="1">
        <v>5640</v>
      </c>
      <c r="N337" s="1">
        <v>379</v>
      </c>
      <c r="O337" s="7">
        <v>5261</v>
      </c>
      <c r="P337" s="7">
        <v>1837</v>
      </c>
    </row>
    <row r="338" spans="1:16" x14ac:dyDescent="0.3">
      <c r="A338" s="10" t="s">
        <v>402</v>
      </c>
      <c r="B338" s="1">
        <v>2804</v>
      </c>
      <c r="C338" s="1">
        <v>1292</v>
      </c>
      <c r="D338" s="1">
        <v>443</v>
      </c>
      <c r="E338" s="10" t="s">
        <v>78</v>
      </c>
      <c r="F338" s="10" t="s">
        <v>78</v>
      </c>
      <c r="G338" s="10" t="s">
        <v>78</v>
      </c>
      <c r="H338" s="1">
        <v>4539</v>
      </c>
      <c r="I338" s="1">
        <v>158</v>
      </c>
      <c r="J338" s="1">
        <v>4381</v>
      </c>
      <c r="K338" s="1">
        <v>3475</v>
      </c>
      <c r="L338" s="1">
        <v>1810</v>
      </c>
      <c r="M338" s="1">
        <v>6046</v>
      </c>
      <c r="N338" s="1">
        <v>405</v>
      </c>
      <c r="O338" s="7">
        <v>5641</v>
      </c>
      <c r="P338" s="7">
        <v>1665</v>
      </c>
    </row>
    <row r="339" spans="1:16" x14ac:dyDescent="0.3">
      <c r="A339" s="10" t="s">
        <v>403</v>
      </c>
      <c r="B339" s="7">
        <v>3199</v>
      </c>
      <c r="C339" s="7">
        <v>1293</v>
      </c>
      <c r="D339" s="7">
        <v>437</v>
      </c>
      <c r="E339" s="10" t="s">
        <v>78</v>
      </c>
      <c r="F339" s="10" t="s">
        <v>78</v>
      </c>
      <c r="G339" s="10" t="s">
        <v>78</v>
      </c>
      <c r="H339" s="1">
        <v>4929</v>
      </c>
      <c r="I339" s="7">
        <v>199</v>
      </c>
      <c r="J339" s="7">
        <v>4730</v>
      </c>
      <c r="K339" s="7">
        <v>3832</v>
      </c>
      <c r="L339" s="7">
        <v>2002</v>
      </c>
      <c r="M339" s="7">
        <v>6560</v>
      </c>
      <c r="N339" s="7">
        <v>413</v>
      </c>
      <c r="O339" s="7">
        <v>6147</v>
      </c>
      <c r="P339" s="7">
        <v>1830</v>
      </c>
    </row>
    <row r="340" spans="1:16" x14ac:dyDescent="0.3">
      <c r="A340" s="10" t="s">
        <v>404</v>
      </c>
      <c r="B340" s="7">
        <v>1725</v>
      </c>
      <c r="C340" s="7">
        <v>1369</v>
      </c>
      <c r="D340" s="7">
        <v>465</v>
      </c>
      <c r="E340" s="10" t="s">
        <v>78</v>
      </c>
      <c r="F340" s="10" t="s">
        <v>78</v>
      </c>
      <c r="G340" s="10" t="s">
        <v>78</v>
      </c>
      <c r="H340" s="1">
        <v>3559</v>
      </c>
      <c r="I340" s="7">
        <v>246</v>
      </c>
      <c r="J340" s="7">
        <v>3313</v>
      </c>
      <c r="K340" s="7">
        <v>4100</v>
      </c>
      <c r="L340" s="7">
        <v>1939</v>
      </c>
      <c r="M340" s="7">
        <v>5474</v>
      </c>
      <c r="N340" s="7">
        <v>386</v>
      </c>
      <c r="O340" s="7">
        <v>5088</v>
      </c>
      <c r="P340" s="7">
        <v>2161</v>
      </c>
    </row>
    <row r="341" spans="1:16" x14ac:dyDescent="0.3">
      <c r="A341" s="10" t="s">
        <v>405</v>
      </c>
      <c r="B341" s="7">
        <v>2404</v>
      </c>
      <c r="C341" s="7">
        <v>2129</v>
      </c>
      <c r="D341" s="7">
        <v>522</v>
      </c>
      <c r="E341" s="10" t="s">
        <v>78</v>
      </c>
      <c r="F341" s="10" t="s">
        <v>78</v>
      </c>
      <c r="G341" s="10" t="s">
        <v>78</v>
      </c>
      <c r="H341" s="1">
        <v>5055</v>
      </c>
      <c r="I341" s="7">
        <v>289</v>
      </c>
      <c r="J341" s="7">
        <v>4766</v>
      </c>
      <c r="K341" s="7">
        <v>3632</v>
      </c>
      <c r="L341" s="7">
        <v>2869</v>
      </c>
      <c r="M341" s="7">
        <v>5529</v>
      </c>
      <c r="N341" s="7">
        <v>382</v>
      </c>
      <c r="O341" s="7">
        <v>5147</v>
      </c>
      <c r="P341" s="7">
        <v>763</v>
      </c>
    </row>
    <row r="342" spans="1:16" x14ac:dyDescent="0.3">
      <c r="A342" s="10" t="s">
        <v>406</v>
      </c>
      <c r="B342" s="7">
        <v>2323</v>
      </c>
      <c r="C342" s="7">
        <v>2059</v>
      </c>
      <c r="D342" s="7">
        <v>434</v>
      </c>
      <c r="E342" s="10" t="s">
        <v>78</v>
      </c>
      <c r="F342" s="10" t="s">
        <v>78</v>
      </c>
      <c r="G342" s="10" t="s">
        <v>78</v>
      </c>
      <c r="H342" s="1">
        <v>4816</v>
      </c>
      <c r="I342" s="7">
        <v>240</v>
      </c>
      <c r="J342" s="7">
        <v>4576</v>
      </c>
      <c r="K342" s="7">
        <v>2401</v>
      </c>
      <c r="L342" s="7">
        <v>2145</v>
      </c>
      <c r="M342" s="7">
        <v>4832</v>
      </c>
      <c r="N342" s="7">
        <v>366</v>
      </c>
      <c r="O342" s="7">
        <v>4466</v>
      </c>
      <c r="P342" s="7">
        <v>256</v>
      </c>
    </row>
    <row r="343" spans="1:16" x14ac:dyDescent="0.3">
      <c r="A343" s="10" t="s">
        <v>407</v>
      </c>
      <c r="B343" s="7">
        <v>3245</v>
      </c>
      <c r="C343" s="7">
        <v>2101</v>
      </c>
      <c r="D343" s="7">
        <v>449</v>
      </c>
      <c r="E343" s="10" t="s">
        <v>78</v>
      </c>
      <c r="F343" s="10" t="s">
        <v>78</v>
      </c>
      <c r="G343" s="10" t="s">
        <v>78</v>
      </c>
      <c r="H343" s="1">
        <v>5795</v>
      </c>
      <c r="I343" s="7">
        <v>372</v>
      </c>
      <c r="J343" s="7">
        <v>5423</v>
      </c>
      <c r="K343" s="7">
        <v>1953</v>
      </c>
      <c r="L343" s="7">
        <v>2520</v>
      </c>
      <c r="M343" s="7">
        <v>4856</v>
      </c>
      <c r="N343" s="7">
        <v>348</v>
      </c>
      <c r="O343" s="7">
        <v>4508</v>
      </c>
      <c r="P343" s="7">
        <v>-567</v>
      </c>
    </row>
    <row r="344" spans="1:16" x14ac:dyDescent="0.3">
      <c r="A344" s="10" t="s">
        <v>408</v>
      </c>
      <c r="B344" s="7">
        <v>4222</v>
      </c>
      <c r="C344" s="7">
        <v>1360</v>
      </c>
      <c r="D344" s="7">
        <v>452</v>
      </c>
      <c r="E344" s="10" t="s">
        <v>78</v>
      </c>
      <c r="F344" s="10" t="s">
        <v>78</v>
      </c>
      <c r="G344" s="10" t="s">
        <v>78</v>
      </c>
      <c r="H344" s="1">
        <v>6034</v>
      </c>
      <c r="I344" s="7">
        <v>475</v>
      </c>
      <c r="J344" s="7">
        <v>5559</v>
      </c>
      <c r="K344" s="7">
        <v>1808</v>
      </c>
      <c r="L344" s="7">
        <v>2759</v>
      </c>
      <c r="M344" s="7">
        <v>4608</v>
      </c>
      <c r="N344" s="7">
        <v>309</v>
      </c>
      <c r="O344" s="7">
        <v>4299</v>
      </c>
      <c r="P344" s="7">
        <v>-951</v>
      </c>
    </row>
    <row r="345" spans="1:16" x14ac:dyDescent="0.3">
      <c r="A345" s="19" t="s">
        <v>409</v>
      </c>
      <c r="B345" s="1">
        <v>3829</v>
      </c>
      <c r="C345" s="1">
        <v>2017</v>
      </c>
      <c r="D345" s="1">
        <v>433</v>
      </c>
      <c r="E345" s="10" t="s">
        <v>78</v>
      </c>
      <c r="F345" s="10" t="s">
        <v>78</v>
      </c>
      <c r="G345" s="10" t="s">
        <v>78</v>
      </c>
      <c r="H345" s="1">
        <v>6279</v>
      </c>
      <c r="I345" s="1">
        <v>482</v>
      </c>
      <c r="J345" s="7">
        <v>5797</v>
      </c>
      <c r="K345" s="1">
        <v>2078</v>
      </c>
      <c r="L345" s="1">
        <v>3300</v>
      </c>
      <c r="M345" s="7">
        <v>4575</v>
      </c>
      <c r="N345" s="1">
        <v>342</v>
      </c>
      <c r="O345" s="7">
        <v>4233</v>
      </c>
      <c r="P345" s="7">
        <v>-1222</v>
      </c>
    </row>
    <row r="346" spans="1:16" x14ac:dyDescent="0.3">
      <c r="A346" s="10" t="s">
        <v>410</v>
      </c>
      <c r="B346" s="7">
        <v>3927</v>
      </c>
      <c r="C346" s="7">
        <v>1706</v>
      </c>
      <c r="D346" s="7">
        <v>415</v>
      </c>
      <c r="E346" s="10" t="s">
        <v>78</v>
      </c>
      <c r="F346" s="10" t="s">
        <v>78</v>
      </c>
      <c r="G346" s="10" t="s">
        <v>78</v>
      </c>
      <c r="H346" s="7">
        <v>6048</v>
      </c>
      <c r="I346" s="7">
        <v>453</v>
      </c>
      <c r="J346" s="7">
        <v>5595</v>
      </c>
      <c r="K346" s="7">
        <v>1825</v>
      </c>
      <c r="L346" s="7">
        <v>2730</v>
      </c>
      <c r="M346" s="7">
        <v>4690</v>
      </c>
      <c r="N346" s="7">
        <v>346</v>
      </c>
      <c r="O346" s="7">
        <v>4344</v>
      </c>
      <c r="P346" s="7">
        <v>-905</v>
      </c>
    </row>
    <row r="347" spans="1:16" x14ac:dyDescent="0.3">
      <c r="A347" s="10" t="s">
        <v>411</v>
      </c>
      <c r="B347" s="7">
        <v>3155</v>
      </c>
      <c r="C347" s="7">
        <v>1340</v>
      </c>
      <c r="D347" s="7">
        <v>411</v>
      </c>
      <c r="E347" s="10" t="s">
        <v>78</v>
      </c>
      <c r="F347" s="10" t="s">
        <v>78</v>
      </c>
      <c r="G347" s="10" t="s">
        <v>78</v>
      </c>
      <c r="H347" s="7">
        <v>4906</v>
      </c>
      <c r="I347" s="7">
        <v>362</v>
      </c>
      <c r="J347" s="7">
        <v>4544</v>
      </c>
      <c r="K347" s="7">
        <v>2564</v>
      </c>
      <c r="L347" s="7">
        <v>2313</v>
      </c>
      <c r="M347" s="7">
        <v>4795</v>
      </c>
      <c r="N347" s="7">
        <v>335</v>
      </c>
      <c r="O347" s="7">
        <v>4460</v>
      </c>
      <c r="P347" s="7">
        <v>251</v>
      </c>
    </row>
    <row r="348" spans="1:16" x14ac:dyDescent="0.3">
      <c r="A348" s="10" t="s">
        <v>412</v>
      </c>
      <c r="B348" s="1">
        <v>2567</v>
      </c>
      <c r="C348" s="1">
        <v>1287</v>
      </c>
      <c r="D348" s="1">
        <v>421</v>
      </c>
      <c r="E348" s="10" t="s">
        <v>78</v>
      </c>
      <c r="F348" s="10" t="s">
        <v>78</v>
      </c>
      <c r="G348" s="10" t="s">
        <v>78</v>
      </c>
      <c r="H348" s="1">
        <v>4275</v>
      </c>
      <c r="I348" s="1">
        <v>366</v>
      </c>
      <c r="J348" s="1">
        <v>3909</v>
      </c>
      <c r="K348" s="1">
        <v>3831</v>
      </c>
      <c r="L348" s="1">
        <v>2626</v>
      </c>
      <c r="M348" s="1">
        <v>5114</v>
      </c>
      <c r="N348" s="1">
        <v>372</v>
      </c>
      <c r="O348" s="7">
        <v>4742</v>
      </c>
      <c r="P348" s="7">
        <v>1205</v>
      </c>
    </row>
    <row r="349" spans="1:16" x14ac:dyDescent="0.3">
      <c r="A349" s="10" t="s">
        <v>413</v>
      </c>
      <c r="B349" s="1">
        <v>3081</v>
      </c>
      <c r="C349" s="1">
        <v>1252</v>
      </c>
      <c r="D349" s="1">
        <v>425</v>
      </c>
      <c r="E349" s="10" t="s">
        <v>78</v>
      </c>
      <c r="F349" s="10" t="s">
        <v>78</v>
      </c>
      <c r="G349" s="10" t="s">
        <v>78</v>
      </c>
      <c r="H349" s="1">
        <v>4758</v>
      </c>
      <c r="I349" s="1">
        <v>354</v>
      </c>
      <c r="J349" s="1">
        <v>4404</v>
      </c>
      <c r="K349" s="1">
        <v>4022</v>
      </c>
      <c r="L349" s="1">
        <v>2701</v>
      </c>
      <c r="M349" s="1">
        <v>5725</v>
      </c>
      <c r="N349" s="1">
        <v>385</v>
      </c>
      <c r="O349" s="7">
        <v>5340</v>
      </c>
      <c r="P349" s="7">
        <v>1321</v>
      </c>
    </row>
    <row r="350" spans="1:16" x14ac:dyDescent="0.3">
      <c r="A350" s="10" t="s">
        <v>414</v>
      </c>
      <c r="B350" s="1">
        <v>2989</v>
      </c>
      <c r="C350" s="1">
        <v>1586</v>
      </c>
      <c r="D350" s="1">
        <v>458</v>
      </c>
      <c r="E350" s="10" t="s">
        <v>78</v>
      </c>
      <c r="F350" s="10" t="s">
        <v>78</v>
      </c>
      <c r="G350" s="10" t="s">
        <v>78</v>
      </c>
      <c r="H350" s="1">
        <v>5033</v>
      </c>
      <c r="I350" s="1">
        <v>322</v>
      </c>
      <c r="J350" s="1">
        <v>4711</v>
      </c>
      <c r="K350" s="1">
        <v>4450</v>
      </c>
      <c r="L350" s="1">
        <v>3042</v>
      </c>
      <c r="M350" s="1">
        <v>6119</v>
      </c>
      <c r="N350" s="1">
        <v>410</v>
      </c>
      <c r="O350" s="7">
        <v>5709</v>
      </c>
      <c r="P350" s="7">
        <v>1408</v>
      </c>
    </row>
    <row r="351" spans="1:16" x14ac:dyDescent="0.3">
      <c r="A351" s="10" t="s">
        <v>415</v>
      </c>
      <c r="B351" s="7">
        <v>2713</v>
      </c>
      <c r="C351" s="7">
        <v>2060</v>
      </c>
      <c r="D351" s="7">
        <v>447</v>
      </c>
      <c r="E351" s="10" t="s">
        <v>78</v>
      </c>
      <c r="F351" s="10" t="s">
        <v>78</v>
      </c>
      <c r="G351" s="10" t="s">
        <v>78</v>
      </c>
      <c r="H351" s="1">
        <v>5220</v>
      </c>
      <c r="I351" s="7">
        <v>261</v>
      </c>
      <c r="J351" s="7">
        <v>4959</v>
      </c>
      <c r="K351" s="7">
        <v>3734</v>
      </c>
      <c r="L351" s="7">
        <v>2782</v>
      </c>
      <c r="M351" s="7">
        <v>5911</v>
      </c>
      <c r="N351" s="7">
        <v>372</v>
      </c>
      <c r="O351" s="7">
        <v>5539</v>
      </c>
      <c r="P351" s="7">
        <v>952</v>
      </c>
    </row>
    <row r="352" spans="1:16" x14ac:dyDescent="0.3">
      <c r="A352" s="10" t="s">
        <v>416</v>
      </c>
      <c r="B352" s="7">
        <v>3006</v>
      </c>
      <c r="C352" s="7">
        <v>1867</v>
      </c>
      <c r="D352" s="7">
        <v>450</v>
      </c>
      <c r="E352" s="10" t="s">
        <v>78</v>
      </c>
      <c r="F352" s="10" t="s">
        <v>78</v>
      </c>
      <c r="G352" s="10" t="s">
        <v>78</v>
      </c>
      <c r="H352" s="1">
        <v>5323</v>
      </c>
      <c r="I352" s="1">
        <v>161</v>
      </c>
      <c r="J352" s="7">
        <v>5162</v>
      </c>
      <c r="K352" s="7">
        <v>3788</v>
      </c>
      <c r="L352" s="7">
        <v>3202</v>
      </c>
      <c r="M352" s="7">
        <v>5748</v>
      </c>
      <c r="N352" s="7">
        <v>406</v>
      </c>
      <c r="O352" s="7">
        <v>5342</v>
      </c>
      <c r="P352" s="7">
        <v>586</v>
      </c>
    </row>
    <row r="353" spans="1:16" x14ac:dyDescent="0.3">
      <c r="A353" s="10" t="s">
        <v>417</v>
      </c>
      <c r="B353" s="7">
        <v>2343</v>
      </c>
      <c r="C353" s="7">
        <v>2148</v>
      </c>
      <c r="D353" s="7">
        <v>427</v>
      </c>
      <c r="E353" s="10" t="s">
        <v>78</v>
      </c>
      <c r="F353" s="10" t="s">
        <v>78</v>
      </c>
      <c r="G353" s="10" t="s">
        <v>78</v>
      </c>
      <c r="H353" s="1">
        <v>4918</v>
      </c>
      <c r="I353" s="7">
        <v>281</v>
      </c>
      <c r="J353" s="7">
        <v>4637</v>
      </c>
      <c r="K353" s="7">
        <v>3708</v>
      </c>
      <c r="L353" s="7">
        <v>2462</v>
      </c>
      <c r="M353" s="7">
        <v>5883</v>
      </c>
      <c r="N353" s="7">
        <v>406</v>
      </c>
      <c r="O353" s="7">
        <v>5477</v>
      </c>
      <c r="P353" s="7">
        <v>1246</v>
      </c>
    </row>
    <row r="354" spans="1:16" x14ac:dyDescent="0.3">
      <c r="A354" s="10" t="s">
        <v>418</v>
      </c>
      <c r="B354" s="7">
        <v>2699</v>
      </c>
      <c r="C354" s="7">
        <v>2244</v>
      </c>
      <c r="D354" s="7">
        <v>482</v>
      </c>
      <c r="E354" s="10" t="s">
        <v>78</v>
      </c>
      <c r="F354" s="10" t="s">
        <v>78</v>
      </c>
      <c r="G354" s="10" t="s">
        <v>78</v>
      </c>
      <c r="H354" s="1">
        <v>5425</v>
      </c>
      <c r="I354" s="7">
        <v>413</v>
      </c>
      <c r="J354" s="7">
        <v>5012</v>
      </c>
      <c r="K354" s="7">
        <v>2166</v>
      </c>
      <c r="L354" s="7">
        <v>2457</v>
      </c>
      <c r="M354" s="7">
        <v>4721</v>
      </c>
      <c r="N354" s="7">
        <v>358</v>
      </c>
      <c r="O354" s="7">
        <v>4363</v>
      </c>
      <c r="P354" s="7">
        <v>-291</v>
      </c>
    </row>
    <row r="355" spans="1:16" x14ac:dyDescent="0.3">
      <c r="A355" s="10" t="s">
        <v>419</v>
      </c>
      <c r="B355" s="7">
        <v>4368</v>
      </c>
      <c r="C355" s="7">
        <v>2300</v>
      </c>
      <c r="D355" s="7">
        <v>501</v>
      </c>
      <c r="E355" s="10" t="s">
        <v>78</v>
      </c>
      <c r="F355" s="10" t="s">
        <v>78</v>
      </c>
      <c r="G355" s="10" t="s">
        <v>78</v>
      </c>
      <c r="H355" s="1">
        <v>7169</v>
      </c>
      <c r="I355" s="7">
        <v>462</v>
      </c>
      <c r="J355" s="7">
        <v>6707</v>
      </c>
      <c r="K355" s="7">
        <v>1075</v>
      </c>
      <c r="L355" s="7">
        <v>3042</v>
      </c>
      <c r="M355" s="7">
        <v>4740</v>
      </c>
      <c r="N355" s="7">
        <v>340</v>
      </c>
      <c r="O355" s="7">
        <v>4400</v>
      </c>
      <c r="P355" s="7">
        <v>-1967</v>
      </c>
    </row>
    <row r="356" spans="1:16" x14ac:dyDescent="0.3">
      <c r="A356" s="10" t="s">
        <v>420</v>
      </c>
      <c r="B356" s="7">
        <v>4595</v>
      </c>
      <c r="C356" s="7">
        <v>1633</v>
      </c>
      <c r="D356" s="7">
        <v>534</v>
      </c>
      <c r="E356" s="10" t="s">
        <v>78</v>
      </c>
      <c r="F356" s="10" t="s">
        <v>78</v>
      </c>
      <c r="G356" s="10" t="s">
        <v>78</v>
      </c>
      <c r="H356" s="1">
        <v>6762</v>
      </c>
      <c r="I356" s="7">
        <v>456</v>
      </c>
      <c r="J356" s="7">
        <v>6306</v>
      </c>
      <c r="K356" s="7">
        <v>1118</v>
      </c>
      <c r="L356" s="7">
        <v>2788</v>
      </c>
      <c r="M356" s="7">
        <v>4636</v>
      </c>
      <c r="N356" s="7">
        <v>311</v>
      </c>
      <c r="O356" s="7">
        <v>4325</v>
      </c>
      <c r="P356" s="7">
        <v>-1670</v>
      </c>
    </row>
    <row r="357" spans="1:16" x14ac:dyDescent="0.3">
      <c r="A357" s="19" t="s">
        <v>421</v>
      </c>
      <c r="B357" s="7">
        <v>3946</v>
      </c>
      <c r="C357" s="7">
        <v>2175</v>
      </c>
      <c r="D357" s="7">
        <v>504</v>
      </c>
      <c r="E357" s="10" t="s">
        <v>78</v>
      </c>
      <c r="F357" s="10" t="s">
        <v>78</v>
      </c>
      <c r="G357" s="10" t="s">
        <v>78</v>
      </c>
      <c r="H357" s="1">
        <v>6625</v>
      </c>
      <c r="I357" s="1">
        <v>317</v>
      </c>
      <c r="J357" s="7">
        <v>6308</v>
      </c>
      <c r="K357" s="7">
        <v>1614</v>
      </c>
      <c r="L357" s="7">
        <v>3333</v>
      </c>
      <c r="M357" s="7">
        <v>4589</v>
      </c>
      <c r="N357" s="7">
        <v>343</v>
      </c>
      <c r="O357" s="7">
        <v>4246</v>
      </c>
      <c r="P357" s="7">
        <v>-1719</v>
      </c>
    </row>
    <row r="358" spans="1:16" x14ac:dyDescent="0.3">
      <c r="A358" s="10" t="s">
        <v>422</v>
      </c>
      <c r="B358" s="7">
        <v>3540</v>
      </c>
      <c r="C358" s="7">
        <v>2088</v>
      </c>
      <c r="D358" s="7">
        <v>484</v>
      </c>
      <c r="E358" s="10" t="s">
        <v>78</v>
      </c>
      <c r="F358" s="10" t="s">
        <v>78</v>
      </c>
      <c r="G358" s="10" t="s">
        <v>78</v>
      </c>
      <c r="H358" s="7">
        <v>6112</v>
      </c>
      <c r="I358" s="7">
        <v>356</v>
      </c>
      <c r="J358" s="7">
        <v>5756</v>
      </c>
      <c r="K358" s="7">
        <v>1548</v>
      </c>
      <c r="L358" s="7">
        <v>2736</v>
      </c>
      <c r="M358" s="7">
        <v>4568</v>
      </c>
      <c r="N358" s="7">
        <v>337</v>
      </c>
      <c r="O358" s="7">
        <v>4231</v>
      </c>
      <c r="P358" s="7">
        <v>-1188</v>
      </c>
    </row>
    <row r="359" spans="1:16" x14ac:dyDescent="0.3">
      <c r="A359" s="10" t="s">
        <v>423</v>
      </c>
      <c r="B359" s="7">
        <v>2664</v>
      </c>
      <c r="C359" s="7">
        <v>1736</v>
      </c>
      <c r="D359" s="7">
        <v>493</v>
      </c>
      <c r="E359" s="10" t="s">
        <v>78</v>
      </c>
      <c r="F359" s="10" t="s">
        <v>78</v>
      </c>
      <c r="G359" s="10" t="s">
        <v>78</v>
      </c>
      <c r="H359" s="7">
        <v>4893</v>
      </c>
      <c r="I359" s="7">
        <v>404</v>
      </c>
      <c r="J359" s="7">
        <v>4489</v>
      </c>
      <c r="K359" s="7">
        <v>2168</v>
      </c>
      <c r="L359" s="7">
        <v>2039</v>
      </c>
      <c r="M359" s="7">
        <v>4618</v>
      </c>
      <c r="N359" s="7">
        <v>323</v>
      </c>
      <c r="O359" s="7">
        <v>4295</v>
      </c>
      <c r="P359" s="7">
        <v>129</v>
      </c>
    </row>
    <row r="360" spans="1:16" x14ac:dyDescent="0.3">
      <c r="A360" s="10" t="s">
        <v>424</v>
      </c>
      <c r="B360" s="1">
        <v>2417</v>
      </c>
      <c r="C360" s="1">
        <v>1553</v>
      </c>
      <c r="D360" s="1">
        <v>477</v>
      </c>
      <c r="E360" s="10" t="s">
        <v>78</v>
      </c>
      <c r="F360" s="10" t="s">
        <v>78</v>
      </c>
      <c r="G360" s="10" t="s">
        <v>78</v>
      </c>
      <c r="H360" s="1">
        <v>4447</v>
      </c>
      <c r="I360" s="1">
        <v>235</v>
      </c>
      <c r="J360" s="1">
        <v>4212</v>
      </c>
      <c r="K360" s="1">
        <v>3679</v>
      </c>
      <c r="L360" s="1">
        <v>2731</v>
      </c>
      <c r="M360" s="1">
        <v>5160</v>
      </c>
      <c r="N360" s="1">
        <v>375</v>
      </c>
      <c r="O360" s="7">
        <v>4785</v>
      </c>
      <c r="P360" s="7">
        <v>948</v>
      </c>
    </row>
    <row r="361" spans="1:16" x14ac:dyDescent="0.3">
      <c r="A361" s="10" t="s">
        <v>425</v>
      </c>
      <c r="B361" s="1">
        <v>2500</v>
      </c>
      <c r="C361" s="1">
        <v>2241</v>
      </c>
      <c r="D361" s="1">
        <v>451</v>
      </c>
      <c r="E361" s="10" t="s">
        <v>78</v>
      </c>
      <c r="F361" s="10" t="s">
        <v>78</v>
      </c>
      <c r="G361" s="10" t="s">
        <v>78</v>
      </c>
      <c r="H361" s="1">
        <v>5192</v>
      </c>
      <c r="I361" s="1">
        <v>307</v>
      </c>
      <c r="J361" s="1">
        <v>4885</v>
      </c>
      <c r="K361" s="1">
        <v>2926</v>
      </c>
      <c r="L361" s="1">
        <v>2263</v>
      </c>
      <c r="M361" s="1">
        <v>5548</v>
      </c>
      <c r="N361" s="1">
        <v>373</v>
      </c>
      <c r="O361" s="7">
        <v>5175</v>
      </c>
      <c r="P361" s="7">
        <v>663</v>
      </c>
    </row>
    <row r="362" spans="1:16" x14ac:dyDescent="0.3">
      <c r="A362" s="10" t="s">
        <v>426</v>
      </c>
      <c r="B362" s="1">
        <v>2637</v>
      </c>
      <c r="C362" s="1">
        <v>2369</v>
      </c>
      <c r="D362" s="1">
        <v>466</v>
      </c>
      <c r="E362" s="10" t="s">
        <v>78</v>
      </c>
      <c r="F362" s="10" t="s">
        <v>78</v>
      </c>
      <c r="G362" s="10" t="s">
        <v>78</v>
      </c>
      <c r="H362" s="1">
        <v>5472</v>
      </c>
      <c r="I362" s="1">
        <v>334</v>
      </c>
      <c r="J362" s="1">
        <v>5138</v>
      </c>
      <c r="K362" s="1">
        <v>3496</v>
      </c>
      <c r="L362" s="1">
        <v>2772</v>
      </c>
      <c r="M362" s="1">
        <v>5862</v>
      </c>
      <c r="N362" s="1">
        <v>393</v>
      </c>
      <c r="O362" s="7">
        <v>5469</v>
      </c>
      <c r="P362" s="7">
        <v>724</v>
      </c>
    </row>
    <row r="363" spans="1:16" x14ac:dyDescent="0.3">
      <c r="A363" s="10" t="s">
        <v>427</v>
      </c>
      <c r="B363" s="7">
        <v>3047</v>
      </c>
      <c r="C363" s="7">
        <v>2373</v>
      </c>
      <c r="D363" s="7">
        <v>463</v>
      </c>
      <c r="E363" s="10" t="s">
        <v>78</v>
      </c>
      <c r="F363" s="10" t="s">
        <v>78</v>
      </c>
      <c r="G363" s="10" t="s">
        <v>78</v>
      </c>
      <c r="H363" s="1">
        <v>5883</v>
      </c>
      <c r="I363" s="7">
        <v>220</v>
      </c>
      <c r="J363" s="7">
        <v>5663</v>
      </c>
      <c r="K363" s="7">
        <v>3520</v>
      </c>
      <c r="L363" s="7">
        <v>2953</v>
      </c>
      <c r="M363" s="7">
        <v>6230</v>
      </c>
      <c r="N363" s="7">
        <v>392</v>
      </c>
      <c r="O363" s="7">
        <v>5838</v>
      </c>
      <c r="P363" s="7">
        <v>567</v>
      </c>
    </row>
    <row r="364" spans="1:16" x14ac:dyDescent="0.3">
      <c r="A364" s="10" t="s">
        <v>428</v>
      </c>
      <c r="B364" s="7">
        <v>2216</v>
      </c>
      <c r="C364" s="7">
        <v>2088</v>
      </c>
      <c r="D364" s="7">
        <v>495</v>
      </c>
      <c r="E364" s="10" t="s">
        <v>78</v>
      </c>
      <c r="F364" s="10" t="s">
        <v>78</v>
      </c>
      <c r="G364" s="10" t="s">
        <v>78</v>
      </c>
      <c r="H364" s="1">
        <v>4799</v>
      </c>
      <c r="I364" s="1">
        <v>200</v>
      </c>
      <c r="J364" s="7">
        <v>4599</v>
      </c>
      <c r="K364" s="7">
        <v>3404</v>
      </c>
      <c r="L364" s="7">
        <v>2531</v>
      </c>
      <c r="M364" s="7">
        <v>5472</v>
      </c>
      <c r="N364" s="7">
        <v>386</v>
      </c>
      <c r="O364" s="7">
        <v>5086</v>
      </c>
      <c r="P364" s="7">
        <v>873</v>
      </c>
    </row>
    <row r="365" spans="1:16" x14ac:dyDescent="0.3">
      <c r="A365" s="10" t="s">
        <v>429</v>
      </c>
      <c r="B365" s="7">
        <v>2249</v>
      </c>
      <c r="C365" s="7">
        <v>2375</v>
      </c>
      <c r="D365" s="7">
        <v>492</v>
      </c>
      <c r="E365" s="10" t="s">
        <v>78</v>
      </c>
      <c r="F365" s="10" t="s">
        <v>78</v>
      </c>
      <c r="G365" s="10" t="s">
        <v>78</v>
      </c>
      <c r="H365" s="1">
        <v>5116</v>
      </c>
      <c r="I365" s="1">
        <v>334</v>
      </c>
      <c r="J365" s="7">
        <v>4782</v>
      </c>
      <c r="K365" s="7">
        <v>3340</v>
      </c>
      <c r="L365" s="7">
        <v>2562</v>
      </c>
      <c r="M365" s="7">
        <v>5560</v>
      </c>
      <c r="N365" s="7">
        <v>384</v>
      </c>
      <c r="O365" s="7">
        <v>5176</v>
      </c>
      <c r="P365" s="7">
        <v>778</v>
      </c>
    </row>
    <row r="366" spans="1:16" x14ac:dyDescent="0.3">
      <c r="A366" s="10" t="s">
        <v>430</v>
      </c>
      <c r="B366" s="7">
        <v>2699</v>
      </c>
      <c r="C366" s="7">
        <v>2259</v>
      </c>
      <c r="D366" s="7">
        <v>442</v>
      </c>
      <c r="E366" s="10" t="s">
        <v>78</v>
      </c>
      <c r="F366" s="10" t="s">
        <v>78</v>
      </c>
      <c r="G366" s="10" t="s">
        <v>78</v>
      </c>
      <c r="H366" s="1">
        <v>5400</v>
      </c>
      <c r="I366" s="7">
        <v>313</v>
      </c>
      <c r="J366" s="7">
        <v>5087</v>
      </c>
      <c r="K366" s="7">
        <v>2248</v>
      </c>
      <c r="L366" s="7">
        <v>2430</v>
      </c>
      <c r="M366" s="7">
        <v>4905</v>
      </c>
      <c r="N366" s="7">
        <v>372</v>
      </c>
      <c r="O366" s="7">
        <v>4533</v>
      </c>
      <c r="P366" s="7">
        <v>-182</v>
      </c>
    </row>
    <row r="367" spans="1:16" x14ac:dyDescent="0.3">
      <c r="A367" s="10" t="s">
        <v>431</v>
      </c>
      <c r="B367" s="7">
        <v>3139</v>
      </c>
      <c r="C367" s="7">
        <v>2038</v>
      </c>
      <c r="D367" s="7">
        <v>538</v>
      </c>
      <c r="E367" s="10" t="s">
        <v>78</v>
      </c>
      <c r="F367" s="10" t="s">
        <v>78</v>
      </c>
      <c r="G367" s="10" t="s">
        <v>78</v>
      </c>
      <c r="H367" s="1">
        <v>5715</v>
      </c>
      <c r="I367" s="1">
        <v>384</v>
      </c>
      <c r="J367" s="7">
        <v>5331</v>
      </c>
      <c r="K367" s="7">
        <v>2055</v>
      </c>
      <c r="L367" s="7">
        <v>2419</v>
      </c>
      <c r="M367" s="7">
        <v>4967</v>
      </c>
      <c r="N367" s="7">
        <v>356</v>
      </c>
      <c r="O367" s="7">
        <v>4611</v>
      </c>
      <c r="P367" s="7">
        <v>-364</v>
      </c>
    </row>
    <row r="368" spans="1:16" x14ac:dyDescent="0.3">
      <c r="A368" s="10" t="s">
        <v>432</v>
      </c>
      <c r="B368" s="7">
        <v>4809</v>
      </c>
      <c r="C368" s="7">
        <v>919</v>
      </c>
      <c r="D368" s="7">
        <v>564</v>
      </c>
      <c r="E368" s="10" t="s">
        <v>78</v>
      </c>
      <c r="F368" s="10" t="s">
        <v>78</v>
      </c>
      <c r="G368" s="10" t="s">
        <v>78</v>
      </c>
      <c r="H368" s="1">
        <v>6292</v>
      </c>
      <c r="I368" s="1">
        <v>601</v>
      </c>
      <c r="J368" s="7">
        <v>5691</v>
      </c>
      <c r="K368" s="7">
        <v>1724</v>
      </c>
      <c r="L368" s="7">
        <v>2913</v>
      </c>
      <c r="M368" s="7">
        <v>4502</v>
      </c>
      <c r="N368" s="7">
        <v>302</v>
      </c>
      <c r="O368" s="7">
        <v>4200</v>
      </c>
      <c r="P368" s="7">
        <v>-1189</v>
      </c>
    </row>
    <row r="369" spans="1:16" x14ac:dyDescent="0.3">
      <c r="A369" s="19" t="s">
        <v>433</v>
      </c>
      <c r="B369" s="7">
        <v>5074</v>
      </c>
      <c r="C369" s="7">
        <v>2047</v>
      </c>
      <c r="D369" s="7">
        <v>574</v>
      </c>
      <c r="E369" s="10" t="s">
        <v>78</v>
      </c>
      <c r="F369" s="10" t="s">
        <v>78</v>
      </c>
      <c r="G369" s="10" t="s">
        <v>78</v>
      </c>
      <c r="H369" s="1">
        <v>7695</v>
      </c>
      <c r="I369" s="1">
        <v>428</v>
      </c>
      <c r="J369" s="7">
        <v>7267</v>
      </c>
      <c r="K369" s="7">
        <v>1210</v>
      </c>
      <c r="L369" s="7">
        <v>3943</v>
      </c>
      <c r="M369" s="7">
        <v>4534</v>
      </c>
      <c r="N369" s="7">
        <v>339</v>
      </c>
      <c r="O369" s="7">
        <v>4195</v>
      </c>
      <c r="P369" s="7">
        <v>-2733</v>
      </c>
    </row>
    <row r="370" spans="1:16" x14ac:dyDescent="0.3">
      <c r="A370" s="10" t="s">
        <v>434</v>
      </c>
      <c r="B370" s="7">
        <v>4819</v>
      </c>
      <c r="C370" s="7">
        <v>1954</v>
      </c>
      <c r="D370" s="7">
        <v>525</v>
      </c>
      <c r="E370" s="10" t="s">
        <v>78</v>
      </c>
      <c r="F370" s="10" t="s">
        <v>78</v>
      </c>
      <c r="G370" s="10" t="s">
        <v>78</v>
      </c>
      <c r="H370" s="7">
        <v>7298</v>
      </c>
      <c r="I370" s="7">
        <v>338</v>
      </c>
      <c r="J370" s="7">
        <v>6960</v>
      </c>
      <c r="K370" s="7">
        <v>1185</v>
      </c>
      <c r="L370" s="7">
        <v>3691</v>
      </c>
      <c r="M370" s="7">
        <v>4454</v>
      </c>
      <c r="N370" s="7">
        <v>329</v>
      </c>
      <c r="O370" s="7">
        <v>4125</v>
      </c>
      <c r="P370" s="7">
        <v>-2506</v>
      </c>
    </row>
    <row r="371" spans="1:16" x14ac:dyDescent="0.3">
      <c r="A371" s="10" t="s">
        <v>435</v>
      </c>
      <c r="B371" s="7">
        <v>3057</v>
      </c>
      <c r="C371" s="7">
        <v>2163</v>
      </c>
      <c r="D371" s="7">
        <v>502</v>
      </c>
      <c r="E371" s="10" t="s">
        <v>78</v>
      </c>
      <c r="F371" s="10" t="s">
        <v>78</v>
      </c>
      <c r="G371" s="10" t="s">
        <v>78</v>
      </c>
      <c r="H371" s="7">
        <v>5722</v>
      </c>
      <c r="I371" s="7">
        <v>386</v>
      </c>
      <c r="J371" s="7">
        <v>5336</v>
      </c>
      <c r="K371" s="7">
        <v>2154</v>
      </c>
      <c r="L371" s="7">
        <v>2886</v>
      </c>
      <c r="M371" s="7">
        <v>4604</v>
      </c>
      <c r="N371" s="7">
        <v>322</v>
      </c>
      <c r="O371" s="7">
        <v>4282</v>
      </c>
      <c r="P371" s="7">
        <v>-732</v>
      </c>
    </row>
    <row r="372" spans="1:16" x14ac:dyDescent="0.3">
      <c r="A372" s="10" t="s">
        <v>436</v>
      </c>
      <c r="B372" s="7">
        <v>3268</v>
      </c>
      <c r="C372" s="7">
        <v>2441</v>
      </c>
      <c r="D372" s="7">
        <v>488</v>
      </c>
      <c r="E372" s="10" t="s">
        <v>78</v>
      </c>
      <c r="F372" s="10" t="s">
        <v>78</v>
      </c>
      <c r="G372" s="10" t="s">
        <v>78</v>
      </c>
      <c r="H372" s="1">
        <v>6197</v>
      </c>
      <c r="I372" s="1">
        <v>394</v>
      </c>
      <c r="J372" s="1">
        <v>5803</v>
      </c>
      <c r="K372" s="1">
        <v>2765</v>
      </c>
      <c r="L372" s="1">
        <v>3480</v>
      </c>
      <c r="M372" s="1">
        <v>5088</v>
      </c>
      <c r="N372" s="1">
        <v>370</v>
      </c>
      <c r="O372" s="7">
        <v>4718</v>
      </c>
      <c r="P372" s="7">
        <v>-715</v>
      </c>
    </row>
    <row r="373" spans="1:16" x14ac:dyDescent="0.3">
      <c r="A373" s="10" t="s">
        <v>437</v>
      </c>
      <c r="B373" s="1">
        <v>3153</v>
      </c>
      <c r="C373" s="1">
        <v>2373</v>
      </c>
      <c r="D373" s="1">
        <v>477</v>
      </c>
      <c r="E373" s="10" t="s">
        <v>78</v>
      </c>
      <c r="F373" s="10" t="s">
        <v>78</v>
      </c>
      <c r="G373" s="10" t="s">
        <v>78</v>
      </c>
      <c r="H373" s="1">
        <v>6003</v>
      </c>
      <c r="I373" s="1">
        <v>248</v>
      </c>
      <c r="J373" s="1">
        <v>5755</v>
      </c>
      <c r="K373" s="1">
        <v>2876</v>
      </c>
      <c r="L373" s="1">
        <v>3144</v>
      </c>
      <c r="M373" s="1">
        <v>5487</v>
      </c>
      <c r="N373" s="1">
        <v>369</v>
      </c>
      <c r="O373" s="7">
        <v>5118</v>
      </c>
      <c r="P373" s="7">
        <v>-268</v>
      </c>
    </row>
    <row r="374" spans="1:16" x14ac:dyDescent="0.3">
      <c r="A374" s="10" t="s">
        <v>438</v>
      </c>
      <c r="B374" s="1">
        <v>3026</v>
      </c>
      <c r="C374" s="1">
        <v>2250</v>
      </c>
      <c r="D374" s="1">
        <v>498</v>
      </c>
      <c r="E374" s="10" t="s">
        <v>78</v>
      </c>
      <c r="F374" s="10" t="s">
        <v>78</v>
      </c>
      <c r="G374" s="10" t="s">
        <v>78</v>
      </c>
      <c r="H374" s="1">
        <v>5774</v>
      </c>
      <c r="I374" s="1">
        <v>287</v>
      </c>
      <c r="J374" s="1">
        <v>5487</v>
      </c>
      <c r="K374" s="1">
        <v>3024</v>
      </c>
      <c r="L374" s="1">
        <v>2813</v>
      </c>
      <c r="M374" s="1">
        <v>5698</v>
      </c>
      <c r="N374" s="1">
        <v>382</v>
      </c>
      <c r="O374" s="7">
        <v>5316</v>
      </c>
      <c r="P374" s="7">
        <v>211</v>
      </c>
    </row>
    <row r="375" spans="1:16" x14ac:dyDescent="0.3">
      <c r="A375" s="10" t="s">
        <v>439</v>
      </c>
      <c r="B375" s="7">
        <v>3219</v>
      </c>
      <c r="C375" s="7">
        <v>2187</v>
      </c>
      <c r="D375" s="7">
        <v>489</v>
      </c>
      <c r="E375" s="7">
        <v>388</v>
      </c>
      <c r="F375" s="7">
        <v>16</v>
      </c>
      <c r="G375" s="7">
        <v>85</v>
      </c>
      <c r="H375" s="1">
        <v>5895</v>
      </c>
      <c r="I375" s="7">
        <v>206</v>
      </c>
      <c r="J375" s="7">
        <v>5689</v>
      </c>
      <c r="K375" s="7">
        <v>3259</v>
      </c>
      <c r="L375" s="7">
        <v>3076</v>
      </c>
      <c r="M375" s="7">
        <v>5872</v>
      </c>
      <c r="N375" s="7">
        <v>369</v>
      </c>
      <c r="O375" s="7">
        <v>5503</v>
      </c>
      <c r="P375" s="7">
        <v>183</v>
      </c>
    </row>
    <row r="376" spans="1:16" x14ac:dyDescent="0.3">
      <c r="A376" s="10" t="s">
        <v>440</v>
      </c>
      <c r="B376" s="7">
        <v>2736</v>
      </c>
      <c r="C376" s="7">
        <v>2047</v>
      </c>
      <c r="D376" s="7">
        <v>525</v>
      </c>
      <c r="E376" s="7">
        <v>381</v>
      </c>
      <c r="F376" s="7">
        <v>25</v>
      </c>
      <c r="G376" s="7">
        <v>119</v>
      </c>
      <c r="H376" s="1">
        <v>5308</v>
      </c>
      <c r="I376" s="1">
        <v>232</v>
      </c>
      <c r="J376" s="7">
        <v>5076</v>
      </c>
      <c r="K376" s="7">
        <v>3232</v>
      </c>
      <c r="L376" s="7">
        <v>2973</v>
      </c>
      <c r="M376" s="7">
        <v>5335</v>
      </c>
      <c r="N376" s="7">
        <v>376</v>
      </c>
      <c r="O376" s="7">
        <v>4959</v>
      </c>
      <c r="P376" s="7">
        <v>259</v>
      </c>
    </row>
    <row r="377" spans="1:16" x14ac:dyDescent="0.3">
      <c r="A377" s="10" t="s">
        <v>441</v>
      </c>
      <c r="B377" s="7">
        <v>3005</v>
      </c>
      <c r="C377" s="7">
        <v>2185</v>
      </c>
      <c r="D377" s="7">
        <v>569</v>
      </c>
      <c r="E377" s="7">
        <v>326</v>
      </c>
      <c r="F377" s="7">
        <v>16</v>
      </c>
      <c r="G377" s="7">
        <v>227</v>
      </c>
      <c r="H377" s="1">
        <v>5759</v>
      </c>
      <c r="I377" s="1">
        <v>300</v>
      </c>
      <c r="J377" s="7">
        <v>5459</v>
      </c>
      <c r="K377" s="7">
        <v>2570</v>
      </c>
      <c r="L377" s="7">
        <v>2709</v>
      </c>
      <c r="M377" s="7">
        <v>5320</v>
      </c>
      <c r="N377" s="7">
        <v>364</v>
      </c>
      <c r="O377" s="7">
        <v>4956</v>
      </c>
      <c r="P377" s="7">
        <v>-139</v>
      </c>
    </row>
    <row r="378" spans="1:16" x14ac:dyDescent="0.3">
      <c r="A378" s="10" t="s">
        <v>442</v>
      </c>
      <c r="B378" s="7">
        <v>2778</v>
      </c>
      <c r="C378" s="7">
        <v>1974</v>
      </c>
      <c r="D378" s="7">
        <v>616</v>
      </c>
      <c r="E378" s="7">
        <v>273</v>
      </c>
      <c r="F378" s="7">
        <v>7</v>
      </c>
      <c r="G378" s="7">
        <v>336</v>
      </c>
      <c r="H378" s="1">
        <v>5368</v>
      </c>
      <c r="I378" s="7">
        <v>429</v>
      </c>
      <c r="J378" s="7">
        <v>4939</v>
      </c>
      <c r="K378" s="7">
        <v>1764</v>
      </c>
      <c r="L378" s="7">
        <v>2285</v>
      </c>
      <c r="M378" s="7">
        <v>4418</v>
      </c>
      <c r="N378" s="7">
        <v>335</v>
      </c>
      <c r="O378" s="7">
        <v>4083</v>
      </c>
      <c r="P378" s="7">
        <v>-521</v>
      </c>
    </row>
    <row r="379" spans="1:16" x14ac:dyDescent="0.3">
      <c r="A379" s="10" t="s">
        <v>443</v>
      </c>
      <c r="B379" s="7">
        <v>3671</v>
      </c>
      <c r="C379" s="7">
        <v>1944</v>
      </c>
      <c r="D379" s="7">
        <v>653</v>
      </c>
      <c r="E379" s="7">
        <v>282</v>
      </c>
      <c r="F379" s="7">
        <v>10</v>
      </c>
      <c r="G379" s="7">
        <v>361</v>
      </c>
      <c r="H379" s="1">
        <v>6268</v>
      </c>
      <c r="I379" s="1">
        <v>600</v>
      </c>
      <c r="J379" s="7">
        <v>5668</v>
      </c>
      <c r="K379" s="7">
        <v>1607</v>
      </c>
      <c r="L379" s="7">
        <v>2696</v>
      </c>
      <c r="M379" s="7">
        <v>4579</v>
      </c>
      <c r="N379" s="7">
        <v>328</v>
      </c>
      <c r="O379" s="7">
        <v>4251</v>
      </c>
      <c r="P379" s="7">
        <v>-1089</v>
      </c>
    </row>
    <row r="380" spans="1:16" x14ac:dyDescent="0.3">
      <c r="A380" s="10" t="s">
        <v>444</v>
      </c>
      <c r="B380" s="7">
        <v>4181</v>
      </c>
      <c r="C380" s="7">
        <v>1476</v>
      </c>
      <c r="D380" s="7">
        <v>592</v>
      </c>
      <c r="E380" s="7">
        <v>257</v>
      </c>
      <c r="F380" s="7">
        <v>8</v>
      </c>
      <c r="G380" s="7">
        <v>327</v>
      </c>
      <c r="H380" s="1">
        <v>6249</v>
      </c>
      <c r="I380" s="1">
        <v>487</v>
      </c>
      <c r="J380" s="7">
        <v>5762</v>
      </c>
      <c r="K380" s="7">
        <v>1254</v>
      </c>
      <c r="L380" s="7">
        <v>2522</v>
      </c>
      <c r="M380" s="7">
        <v>4494</v>
      </c>
      <c r="N380" s="7">
        <v>302</v>
      </c>
      <c r="O380" s="7">
        <v>4192</v>
      </c>
      <c r="P380" s="7">
        <v>-1268</v>
      </c>
    </row>
    <row r="381" spans="1:16" x14ac:dyDescent="0.3">
      <c r="A381" s="19" t="s">
        <v>445</v>
      </c>
      <c r="B381" s="7">
        <v>4393</v>
      </c>
      <c r="C381" s="7">
        <v>1249</v>
      </c>
      <c r="D381" s="7">
        <v>724</v>
      </c>
      <c r="E381" s="7">
        <v>324</v>
      </c>
      <c r="F381" s="7">
        <v>7</v>
      </c>
      <c r="G381" s="7">
        <v>393</v>
      </c>
      <c r="H381" s="1">
        <v>6366</v>
      </c>
      <c r="I381" s="1">
        <v>414</v>
      </c>
      <c r="J381" s="7">
        <v>5952</v>
      </c>
      <c r="K381" s="7">
        <v>1587</v>
      </c>
      <c r="L381" s="7">
        <v>2990</v>
      </c>
      <c r="M381" s="7">
        <v>4549</v>
      </c>
      <c r="N381" s="7">
        <v>340</v>
      </c>
      <c r="O381" s="7">
        <v>4209</v>
      </c>
      <c r="P381" s="7">
        <v>-1403</v>
      </c>
    </row>
    <row r="382" spans="1:16" x14ac:dyDescent="0.3">
      <c r="A382" s="10" t="s">
        <v>446</v>
      </c>
      <c r="B382" s="7">
        <v>3889</v>
      </c>
      <c r="C382" s="7">
        <v>1626</v>
      </c>
      <c r="D382" s="7">
        <v>634</v>
      </c>
      <c r="E382" s="7">
        <v>312</v>
      </c>
      <c r="F382" s="7">
        <v>7</v>
      </c>
      <c r="G382" s="7">
        <v>315</v>
      </c>
      <c r="H382" s="1">
        <v>6149</v>
      </c>
      <c r="I382" s="7">
        <v>508</v>
      </c>
      <c r="J382" s="7">
        <v>5641</v>
      </c>
      <c r="K382" s="7">
        <v>1482</v>
      </c>
      <c r="L382" s="7">
        <v>2574</v>
      </c>
      <c r="M382" s="7">
        <v>4549</v>
      </c>
      <c r="N382" s="7">
        <v>336</v>
      </c>
      <c r="O382" s="7">
        <v>4213</v>
      </c>
      <c r="P382" s="7">
        <v>-1092</v>
      </c>
    </row>
    <row r="383" spans="1:16" x14ac:dyDescent="0.3">
      <c r="A383" s="10" t="s">
        <v>447</v>
      </c>
      <c r="B383" s="7">
        <v>3364</v>
      </c>
      <c r="C383" s="7">
        <v>2067</v>
      </c>
      <c r="D383" s="7">
        <v>549</v>
      </c>
      <c r="E383" s="7">
        <v>285</v>
      </c>
      <c r="F383" s="7">
        <v>8</v>
      </c>
      <c r="G383" s="7">
        <v>256</v>
      </c>
      <c r="H383" s="1">
        <v>5980</v>
      </c>
      <c r="I383" s="7">
        <v>385</v>
      </c>
      <c r="J383" s="7">
        <v>5595</v>
      </c>
      <c r="K383" s="7">
        <v>1582</v>
      </c>
      <c r="L383" s="7">
        <v>2547</v>
      </c>
      <c r="M383" s="7">
        <v>4630</v>
      </c>
      <c r="N383" s="7">
        <v>324</v>
      </c>
      <c r="O383" s="7">
        <v>4306</v>
      </c>
      <c r="P383" s="7">
        <v>-965</v>
      </c>
    </row>
    <row r="384" spans="1:16" x14ac:dyDescent="0.3">
      <c r="A384" s="10" t="s">
        <v>448</v>
      </c>
      <c r="B384" s="7">
        <v>3431</v>
      </c>
      <c r="C384" s="7">
        <v>2164</v>
      </c>
      <c r="D384" s="7">
        <v>456</v>
      </c>
      <c r="E384" s="7">
        <v>297</v>
      </c>
      <c r="F384" s="7">
        <v>15</v>
      </c>
      <c r="G384" s="7">
        <v>144</v>
      </c>
      <c r="H384" s="1">
        <v>6051</v>
      </c>
      <c r="I384" s="1">
        <v>425</v>
      </c>
      <c r="J384" s="1">
        <v>5626</v>
      </c>
      <c r="K384" s="1">
        <v>2422</v>
      </c>
      <c r="L384" s="1">
        <v>2837</v>
      </c>
      <c r="M384" s="1">
        <v>5211</v>
      </c>
      <c r="N384" s="1">
        <v>379</v>
      </c>
      <c r="O384" s="7">
        <v>4832</v>
      </c>
      <c r="P384" s="7">
        <v>-415</v>
      </c>
    </row>
    <row r="385" spans="1:16" x14ac:dyDescent="0.3">
      <c r="A385" s="10" t="s">
        <v>449</v>
      </c>
      <c r="B385" s="7">
        <v>3010</v>
      </c>
      <c r="C385" s="7">
        <v>2103</v>
      </c>
      <c r="D385" s="7">
        <v>482</v>
      </c>
      <c r="E385" s="7">
        <v>382</v>
      </c>
      <c r="F385" s="7">
        <v>10</v>
      </c>
      <c r="G385" s="7">
        <v>90</v>
      </c>
      <c r="H385" s="1">
        <v>5595</v>
      </c>
      <c r="I385" s="1">
        <v>203</v>
      </c>
      <c r="J385" s="1">
        <v>5392</v>
      </c>
      <c r="K385" s="1">
        <v>2877</v>
      </c>
      <c r="L385" s="1">
        <v>2839</v>
      </c>
      <c r="M385" s="1">
        <v>5430</v>
      </c>
      <c r="N385" s="1">
        <v>365</v>
      </c>
      <c r="O385" s="7">
        <v>5065</v>
      </c>
      <c r="P385" s="7">
        <v>38</v>
      </c>
    </row>
    <row r="386" spans="1:16" x14ac:dyDescent="0.3">
      <c r="A386" s="10" t="s">
        <v>450</v>
      </c>
      <c r="B386" s="1">
        <v>2939</v>
      </c>
      <c r="C386" s="1">
        <v>1968</v>
      </c>
      <c r="D386" s="7">
        <v>436</v>
      </c>
      <c r="E386" s="7">
        <v>381</v>
      </c>
      <c r="F386" s="7">
        <v>16</v>
      </c>
      <c r="G386" s="7">
        <v>39</v>
      </c>
      <c r="H386" s="1">
        <v>5343</v>
      </c>
      <c r="I386" s="1">
        <v>270</v>
      </c>
      <c r="J386" s="1">
        <v>5073</v>
      </c>
      <c r="K386" s="1">
        <v>3352</v>
      </c>
      <c r="L386" s="1">
        <v>2500</v>
      </c>
      <c r="M386" s="1">
        <v>5925</v>
      </c>
      <c r="N386" s="1">
        <v>397</v>
      </c>
      <c r="O386" s="7">
        <v>5528</v>
      </c>
      <c r="P386" s="7">
        <v>852</v>
      </c>
    </row>
    <row r="387" spans="1:16" x14ac:dyDescent="0.3">
      <c r="A387" s="10" t="s">
        <v>451</v>
      </c>
      <c r="B387" s="7">
        <v>3273</v>
      </c>
      <c r="C387" s="7">
        <v>2147</v>
      </c>
      <c r="D387" s="7">
        <v>378</v>
      </c>
      <c r="E387" s="7">
        <v>325</v>
      </c>
      <c r="F387" s="7">
        <v>17</v>
      </c>
      <c r="G387" s="7">
        <v>36</v>
      </c>
      <c r="H387" s="1">
        <v>5798</v>
      </c>
      <c r="I387" s="7">
        <v>274</v>
      </c>
      <c r="J387" s="7">
        <v>5524</v>
      </c>
      <c r="K387" s="7">
        <v>3258</v>
      </c>
      <c r="L387" s="7">
        <v>2648</v>
      </c>
      <c r="M387" s="7">
        <v>6134</v>
      </c>
      <c r="N387" s="7">
        <v>386</v>
      </c>
      <c r="O387" s="7">
        <v>5748</v>
      </c>
      <c r="P387" s="7">
        <v>610</v>
      </c>
    </row>
    <row r="388" spans="1:16" x14ac:dyDescent="0.3">
      <c r="A388" s="10" t="s">
        <v>452</v>
      </c>
      <c r="B388" s="7">
        <v>2772</v>
      </c>
      <c r="C388" s="7">
        <v>1946</v>
      </c>
      <c r="D388" s="7">
        <v>460</v>
      </c>
      <c r="E388" s="7">
        <v>326</v>
      </c>
      <c r="F388" s="7">
        <v>16</v>
      </c>
      <c r="G388" s="7">
        <v>118</v>
      </c>
      <c r="H388" s="1">
        <v>5178</v>
      </c>
      <c r="I388" s="1">
        <v>212</v>
      </c>
      <c r="J388" s="7">
        <v>4966</v>
      </c>
      <c r="K388" s="7">
        <v>2876</v>
      </c>
      <c r="L388" s="7">
        <v>2508</v>
      </c>
      <c r="M388" s="7">
        <v>5334</v>
      </c>
      <c r="N388" s="7">
        <v>376</v>
      </c>
      <c r="O388" s="7">
        <v>4958</v>
      </c>
      <c r="P388" s="7">
        <v>368</v>
      </c>
    </row>
    <row r="389" spans="1:16" x14ac:dyDescent="0.3">
      <c r="A389" s="10" t="s">
        <v>453</v>
      </c>
      <c r="B389" s="7">
        <v>2696</v>
      </c>
      <c r="C389" s="7">
        <v>2174</v>
      </c>
      <c r="D389" s="7">
        <v>635</v>
      </c>
      <c r="E389" s="7">
        <v>366</v>
      </c>
      <c r="F389" s="7">
        <v>12</v>
      </c>
      <c r="G389" s="7">
        <v>257</v>
      </c>
      <c r="H389" s="1">
        <v>5505</v>
      </c>
      <c r="I389" s="1">
        <v>204</v>
      </c>
      <c r="J389" s="7">
        <v>5301</v>
      </c>
      <c r="K389" s="7">
        <v>2954</v>
      </c>
      <c r="L389" s="7">
        <v>2592</v>
      </c>
      <c r="M389" s="7">
        <v>5663</v>
      </c>
      <c r="N389" s="7">
        <v>388</v>
      </c>
      <c r="O389" s="7">
        <v>5275</v>
      </c>
      <c r="P389" s="7">
        <v>362</v>
      </c>
    </row>
    <row r="390" spans="1:16" x14ac:dyDescent="0.3">
      <c r="A390" s="10" t="s">
        <v>454</v>
      </c>
      <c r="B390" s="7">
        <v>2287</v>
      </c>
      <c r="C390" s="7">
        <v>2104</v>
      </c>
      <c r="D390" s="7">
        <v>707</v>
      </c>
      <c r="E390" s="7">
        <v>333</v>
      </c>
      <c r="F390" s="7">
        <v>11</v>
      </c>
      <c r="G390" s="7">
        <v>363</v>
      </c>
      <c r="H390" s="1">
        <v>5098</v>
      </c>
      <c r="I390" s="7">
        <v>322</v>
      </c>
      <c r="J390" s="7">
        <v>4776</v>
      </c>
      <c r="K390" s="7">
        <v>2330</v>
      </c>
      <c r="L390" s="7">
        <v>2042</v>
      </c>
      <c r="M390" s="7">
        <v>5064</v>
      </c>
      <c r="N390" s="7">
        <v>384</v>
      </c>
      <c r="O390" s="7">
        <v>4680</v>
      </c>
      <c r="P390" s="7">
        <v>288</v>
      </c>
    </row>
    <row r="391" spans="1:16" x14ac:dyDescent="0.3">
      <c r="A391" s="10" t="s">
        <v>455</v>
      </c>
      <c r="B391" s="7">
        <v>3250</v>
      </c>
      <c r="C391" s="7">
        <v>1576</v>
      </c>
      <c r="D391" s="7">
        <v>681</v>
      </c>
      <c r="E391" s="7">
        <v>292</v>
      </c>
      <c r="F391" s="7">
        <v>16</v>
      </c>
      <c r="G391" s="7">
        <v>373</v>
      </c>
      <c r="H391" s="1">
        <v>5507</v>
      </c>
      <c r="I391" s="1">
        <v>506</v>
      </c>
      <c r="J391" s="7">
        <v>5001</v>
      </c>
      <c r="K391" s="7">
        <v>1950</v>
      </c>
      <c r="L391" s="7">
        <v>2001</v>
      </c>
      <c r="M391" s="7">
        <v>4950</v>
      </c>
      <c r="N391" s="7">
        <v>355</v>
      </c>
      <c r="O391" s="7">
        <v>4595</v>
      </c>
      <c r="P391" s="7">
        <v>-51</v>
      </c>
    </row>
    <row r="392" spans="1:16" x14ac:dyDescent="0.3">
      <c r="A392" s="10" t="s">
        <v>456</v>
      </c>
      <c r="B392" s="7">
        <v>4792</v>
      </c>
      <c r="C392" s="7">
        <v>629</v>
      </c>
      <c r="D392" s="7">
        <v>713</v>
      </c>
      <c r="E392" s="7">
        <v>276</v>
      </c>
      <c r="F392" s="7">
        <v>7</v>
      </c>
      <c r="G392" s="7">
        <v>430</v>
      </c>
      <c r="H392" s="1">
        <v>6134</v>
      </c>
      <c r="I392" s="1">
        <v>411</v>
      </c>
      <c r="J392" s="7">
        <v>5723</v>
      </c>
      <c r="K392" s="7">
        <v>1675</v>
      </c>
      <c r="L392" s="7">
        <v>2718</v>
      </c>
      <c r="M392" s="7">
        <v>4680</v>
      </c>
      <c r="N392" s="7">
        <v>315</v>
      </c>
      <c r="O392" s="7">
        <v>4365</v>
      </c>
      <c r="P392" s="7">
        <v>-1043</v>
      </c>
    </row>
    <row r="393" spans="1:16" x14ac:dyDescent="0.3">
      <c r="A393" s="19" t="s">
        <v>457</v>
      </c>
      <c r="B393" s="7">
        <v>4947</v>
      </c>
      <c r="C393" s="7">
        <v>1258</v>
      </c>
      <c r="D393" s="7">
        <v>686</v>
      </c>
      <c r="E393" s="7">
        <v>303</v>
      </c>
      <c r="F393" s="7">
        <v>9</v>
      </c>
      <c r="G393" s="7">
        <v>374</v>
      </c>
      <c r="H393" s="1">
        <v>6891</v>
      </c>
      <c r="I393" s="1">
        <v>433</v>
      </c>
      <c r="J393" s="7">
        <v>6458</v>
      </c>
      <c r="K393" s="7">
        <v>1730</v>
      </c>
      <c r="L393" s="7">
        <v>3394</v>
      </c>
      <c r="M393" s="7">
        <v>4794</v>
      </c>
      <c r="N393" s="7">
        <v>358</v>
      </c>
      <c r="O393" s="7">
        <v>4436</v>
      </c>
      <c r="P393" s="7">
        <v>-1664</v>
      </c>
    </row>
    <row r="394" spans="1:16" x14ac:dyDescent="0.3">
      <c r="A394" s="10" t="s">
        <v>458</v>
      </c>
      <c r="B394" s="7">
        <v>4463</v>
      </c>
      <c r="C394" s="7">
        <v>1040</v>
      </c>
      <c r="D394" s="7">
        <v>660</v>
      </c>
      <c r="E394" s="7">
        <v>294</v>
      </c>
      <c r="F394" s="7">
        <v>9</v>
      </c>
      <c r="G394" s="7">
        <v>357</v>
      </c>
      <c r="H394" s="1">
        <v>6163</v>
      </c>
      <c r="I394" s="7">
        <v>404</v>
      </c>
      <c r="J394" s="7">
        <v>5759</v>
      </c>
      <c r="K394" s="7">
        <v>1958</v>
      </c>
      <c r="L394" s="7">
        <v>3067</v>
      </c>
      <c r="M394" s="7">
        <v>4650</v>
      </c>
      <c r="N394" s="7">
        <v>343</v>
      </c>
      <c r="O394" s="7">
        <v>4307</v>
      </c>
      <c r="P394" s="7">
        <v>-1109</v>
      </c>
    </row>
    <row r="395" spans="1:16" x14ac:dyDescent="0.3">
      <c r="A395" s="10" t="s">
        <v>459</v>
      </c>
      <c r="B395" s="7">
        <v>3103</v>
      </c>
      <c r="C395" s="7">
        <v>1119</v>
      </c>
      <c r="D395" s="7">
        <v>574</v>
      </c>
      <c r="E395" s="7">
        <v>256</v>
      </c>
      <c r="F395" s="7">
        <v>7</v>
      </c>
      <c r="G395" s="7">
        <v>311</v>
      </c>
      <c r="H395" s="1">
        <v>4796</v>
      </c>
      <c r="I395" s="7">
        <v>325</v>
      </c>
      <c r="J395" s="7">
        <v>4471</v>
      </c>
      <c r="K395" s="7">
        <v>2531</v>
      </c>
      <c r="L395" s="7">
        <v>2247</v>
      </c>
      <c r="M395" s="7">
        <v>4755</v>
      </c>
      <c r="N395" s="7">
        <v>333</v>
      </c>
      <c r="O395" s="7">
        <v>4422</v>
      </c>
      <c r="P395" s="7">
        <v>284</v>
      </c>
    </row>
    <row r="396" spans="1:16" x14ac:dyDescent="0.3">
      <c r="A396" s="10" t="s">
        <v>460</v>
      </c>
      <c r="B396" s="7">
        <v>2402</v>
      </c>
      <c r="C396" s="7">
        <v>1277</v>
      </c>
      <c r="D396" s="7">
        <v>555</v>
      </c>
      <c r="E396" s="7">
        <v>325</v>
      </c>
      <c r="F396" s="7">
        <v>14</v>
      </c>
      <c r="G396" s="7">
        <v>216</v>
      </c>
      <c r="H396" s="1">
        <v>4234</v>
      </c>
      <c r="I396" s="1">
        <v>327</v>
      </c>
      <c r="J396" s="1">
        <v>3907</v>
      </c>
      <c r="K396" s="1">
        <v>3457</v>
      </c>
      <c r="L396" s="1">
        <v>2102</v>
      </c>
      <c r="M396" s="1">
        <v>5262</v>
      </c>
      <c r="N396" s="1">
        <v>383</v>
      </c>
      <c r="O396" s="7">
        <v>4879</v>
      </c>
      <c r="P396" s="7">
        <v>1355</v>
      </c>
    </row>
    <row r="397" spans="1:16" x14ac:dyDescent="0.3">
      <c r="A397" s="10" t="s">
        <v>461</v>
      </c>
      <c r="B397" s="7">
        <v>2877</v>
      </c>
      <c r="C397" s="7">
        <v>1227</v>
      </c>
      <c r="D397" s="7">
        <v>449</v>
      </c>
      <c r="E397" s="7">
        <v>358</v>
      </c>
      <c r="F397" s="7">
        <v>9</v>
      </c>
      <c r="G397" s="7">
        <v>82</v>
      </c>
      <c r="H397" s="1">
        <v>4553</v>
      </c>
      <c r="I397" s="1">
        <v>309</v>
      </c>
      <c r="J397" s="1">
        <v>4244</v>
      </c>
      <c r="K397" s="1">
        <v>3433</v>
      </c>
      <c r="L397" s="1">
        <v>1871</v>
      </c>
      <c r="M397" s="1">
        <v>5806</v>
      </c>
      <c r="N397" s="1">
        <v>391</v>
      </c>
      <c r="O397" s="7">
        <v>5415</v>
      </c>
      <c r="P397" s="7">
        <v>1562</v>
      </c>
    </row>
    <row r="398" spans="1:16" x14ac:dyDescent="0.3">
      <c r="A398" s="10" t="s">
        <v>462</v>
      </c>
      <c r="B398" s="1">
        <v>2638</v>
      </c>
      <c r="C398" s="1">
        <v>2033</v>
      </c>
      <c r="D398" s="7">
        <v>430</v>
      </c>
      <c r="E398" s="7">
        <v>365</v>
      </c>
      <c r="F398" s="7">
        <v>18</v>
      </c>
      <c r="G398" s="7">
        <v>47</v>
      </c>
      <c r="H398" s="1">
        <v>5101</v>
      </c>
      <c r="I398" s="1">
        <v>418</v>
      </c>
      <c r="J398" s="1">
        <v>4683</v>
      </c>
      <c r="K398" s="1">
        <v>3380</v>
      </c>
      <c r="L398" s="1">
        <v>1929</v>
      </c>
      <c r="M398" s="1">
        <v>6134</v>
      </c>
      <c r="N398" s="1">
        <v>411</v>
      </c>
      <c r="O398" s="7">
        <v>5723</v>
      </c>
      <c r="P398" s="7">
        <v>1451</v>
      </c>
    </row>
    <row r="399" spans="1:16" x14ac:dyDescent="0.3">
      <c r="A399" s="10" t="s">
        <v>463</v>
      </c>
      <c r="B399" s="7">
        <v>2689</v>
      </c>
      <c r="C399" s="7">
        <v>2205</v>
      </c>
      <c r="D399" s="7">
        <v>487</v>
      </c>
      <c r="E399" s="7">
        <v>368</v>
      </c>
      <c r="F399" s="7">
        <v>17</v>
      </c>
      <c r="G399" s="7">
        <v>102</v>
      </c>
      <c r="H399" s="1">
        <v>5381</v>
      </c>
      <c r="I399" s="7">
        <v>317</v>
      </c>
      <c r="J399" s="7">
        <v>5064</v>
      </c>
      <c r="K399" s="7">
        <v>3395</v>
      </c>
      <c r="L399" s="7">
        <v>2271</v>
      </c>
      <c r="M399" s="7">
        <v>6188</v>
      </c>
      <c r="N399" s="7">
        <v>389</v>
      </c>
      <c r="O399" s="7">
        <v>5799</v>
      </c>
      <c r="P399" s="7">
        <v>1124</v>
      </c>
    </row>
    <row r="400" spans="1:16" x14ac:dyDescent="0.3">
      <c r="A400" s="10" t="s">
        <v>464</v>
      </c>
      <c r="B400" s="7">
        <v>2019</v>
      </c>
      <c r="C400" s="7">
        <v>1989</v>
      </c>
      <c r="D400" s="7">
        <v>543</v>
      </c>
      <c r="E400" s="7">
        <v>336</v>
      </c>
      <c r="F400" s="7">
        <v>21</v>
      </c>
      <c r="G400" s="7">
        <v>186</v>
      </c>
      <c r="H400" s="1">
        <v>4551</v>
      </c>
      <c r="I400" s="1">
        <v>303</v>
      </c>
      <c r="J400" s="7">
        <v>4248</v>
      </c>
      <c r="K400" s="7">
        <v>3631</v>
      </c>
      <c r="L400" s="7">
        <v>2346</v>
      </c>
      <c r="M400" s="7">
        <v>5533</v>
      </c>
      <c r="N400" s="7">
        <v>390</v>
      </c>
      <c r="O400" s="7">
        <v>5143</v>
      </c>
      <c r="P400" s="7">
        <v>1285</v>
      </c>
    </row>
    <row r="401" spans="1:16" x14ac:dyDescent="0.3">
      <c r="A401" s="10" t="s">
        <v>465</v>
      </c>
      <c r="B401" s="7">
        <v>2076</v>
      </c>
      <c r="C401" s="7">
        <v>2191</v>
      </c>
      <c r="D401" s="7">
        <v>707</v>
      </c>
      <c r="E401" s="7">
        <v>337</v>
      </c>
      <c r="F401" s="7">
        <v>9</v>
      </c>
      <c r="G401" s="7">
        <v>361</v>
      </c>
      <c r="H401" s="1">
        <v>4974</v>
      </c>
      <c r="I401" s="1">
        <v>292</v>
      </c>
      <c r="J401" s="7">
        <v>4682</v>
      </c>
      <c r="K401" s="7">
        <v>3566</v>
      </c>
      <c r="L401" s="7">
        <v>2522</v>
      </c>
      <c r="M401" s="7">
        <v>5726</v>
      </c>
      <c r="N401" s="7">
        <v>392</v>
      </c>
      <c r="O401" s="7">
        <v>5334</v>
      </c>
      <c r="P401" s="7">
        <v>1044</v>
      </c>
    </row>
    <row r="402" spans="1:16" x14ac:dyDescent="0.3">
      <c r="A402" s="10" t="s">
        <v>466</v>
      </c>
      <c r="B402" s="7">
        <v>2384</v>
      </c>
      <c r="C402" s="7">
        <v>2104</v>
      </c>
      <c r="D402" s="7">
        <v>717</v>
      </c>
      <c r="E402" s="7">
        <v>296</v>
      </c>
      <c r="F402" s="7">
        <v>12</v>
      </c>
      <c r="G402" s="7">
        <v>409</v>
      </c>
      <c r="H402" s="1">
        <v>5205</v>
      </c>
      <c r="I402" s="7">
        <v>374</v>
      </c>
      <c r="J402" s="7">
        <v>4831</v>
      </c>
      <c r="K402" s="7">
        <v>2495</v>
      </c>
      <c r="L402" s="7">
        <v>2251</v>
      </c>
      <c r="M402" s="7">
        <v>5075</v>
      </c>
      <c r="N402" s="7">
        <v>385</v>
      </c>
      <c r="O402" s="7">
        <v>4690</v>
      </c>
      <c r="P402" s="7">
        <v>244</v>
      </c>
    </row>
    <row r="403" spans="1:16" x14ac:dyDescent="0.3">
      <c r="A403" s="10" t="s">
        <v>467</v>
      </c>
      <c r="B403" s="7">
        <v>3448</v>
      </c>
      <c r="C403" s="7">
        <v>1644</v>
      </c>
      <c r="D403" s="7">
        <v>815</v>
      </c>
      <c r="E403" s="7">
        <v>283</v>
      </c>
      <c r="F403" s="7">
        <v>9</v>
      </c>
      <c r="G403" s="7">
        <v>523</v>
      </c>
      <c r="H403" s="1">
        <v>5907</v>
      </c>
      <c r="I403" s="7">
        <v>423</v>
      </c>
      <c r="J403" s="7">
        <v>5484</v>
      </c>
      <c r="K403" s="7">
        <v>2062</v>
      </c>
      <c r="L403" s="7">
        <v>2645</v>
      </c>
      <c r="M403" s="7">
        <v>4901</v>
      </c>
      <c r="N403" s="7">
        <v>351</v>
      </c>
      <c r="O403" s="7">
        <v>4550</v>
      </c>
      <c r="P403" s="7">
        <v>-583</v>
      </c>
    </row>
    <row r="404" spans="1:16" x14ac:dyDescent="0.3">
      <c r="A404" s="10" t="s">
        <v>468</v>
      </c>
      <c r="B404" s="7">
        <v>3787</v>
      </c>
      <c r="C404" s="7">
        <v>746</v>
      </c>
      <c r="D404" s="7">
        <v>824</v>
      </c>
      <c r="E404" s="7">
        <v>279</v>
      </c>
      <c r="F404" s="7">
        <v>9</v>
      </c>
      <c r="G404" s="7">
        <v>536</v>
      </c>
      <c r="H404" s="1">
        <v>5357</v>
      </c>
      <c r="I404" s="7">
        <v>451</v>
      </c>
      <c r="J404" s="7">
        <v>4906</v>
      </c>
      <c r="K404" s="7">
        <v>2238</v>
      </c>
      <c r="L404" s="7">
        <v>2373</v>
      </c>
      <c r="M404" s="7">
        <v>4771</v>
      </c>
      <c r="N404" s="7">
        <v>321</v>
      </c>
      <c r="O404" s="7">
        <v>4450</v>
      </c>
      <c r="P404" s="7">
        <v>-135</v>
      </c>
    </row>
    <row r="405" spans="1:16" x14ac:dyDescent="0.3">
      <c r="A405" s="19" t="s">
        <v>469</v>
      </c>
      <c r="B405" s="7">
        <v>3671</v>
      </c>
      <c r="C405" s="7">
        <v>1706</v>
      </c>
      <c r="D405" s="7">
        <v>938</v>
      </c>
      <c r="E405" s="7">
        <v>309</v>
      </c>
      <c r="F405" s="7">
        <v>8</v>
      </c>
      <c r="G405" s="7">
        <v>621</v>
      </c>
      <c r="H405" s="1">
        <v>6315</v>
      </c>
      <c r="I405" s="7">
        <v>624</v>
      </c>
      <c r="J405" s="7">
        <v>5691</v>
      </c>
      <c r="K405" s="7">
        <v>2228</v>
      </c>
      <c r="L405" s="7">
        <v>3130</v>
      </c>
      <c r="M405" s="7">
        <v>4789</v>
      </c>
      <c r="N405" s="7">
        <v>357</v>
      </c>
      <c r="O405" s="7">
        <v>4432</v>
      </c>
      <c r="P405" s="7">
        <v>-902</v>
      </c>
    </row>
    <row r="406" spans="1:16" x14ac:dyDescent="0.3">
      <c r="A406" s="10" t="s">
        <v>470</v>
      </c>
      <c r="B406" s="7">
        <v>3233</v>
      </c>
      <c r="C406" s="7">
        <v>1966</v>
      </c>
      <c r="D406" s="7">
        <v>791</v>
      </c>
      <c r="E406" s="7">
        <v>256</v>
      </c>
      <c r="F406" s="7">
        <v>8</v>
      </c>
      <c r="G406" s="7">
        <v>527</v>
      </c>
      <c r="H406" s="1">
        <v>5990</v>
      </c>
      <c r="I406" s="7">
        <v>597</v>
      </c>
      <c r="J406" s="7">
        <v>5393</v>
      </c>
      <c r="K406" s="7">
        <v>1960</v>
      </c>
      <c r="L406" s="7">
        <v>2623</v>
      </c>
      <c r="M406" s="7">
        <v>4730</v>
      </c>
      <c r="N406" s="7">
        <v>349</v>
      </c>
      <c r="O406" s="7">
        <v>4381</v>
      </c>
      <c r="P406" s="7">
        <v>-663</v>
      </c>
    </row>
    <row r="407" spans="1:16" x14ac:dyDescent="0.3">
      <c r="A407" s="10" t="s">
        <v>471</v>
      </c>
      <c r="B407" s="7">
        <v>2730</v>
      </c>
      <c r="C407" s="7">
        <v>2071</v>
      </c>
      <c r="D407" s="7">
        <v>636</v>
      </c>
      <c r="E407" s="7">
        <v>269</v>
      </c>
      <c r="F407" s="7">
        <v>11</v>
      </c>
      <c r="G407" s="7">
        <v>356</v>
      </c>
      <c r="H407" s="1">
        <v>5437</v>
      </c>
      <c r="I407" s="7">
        <v>504</v>
      </c>
      <c r="J407" s="7">
        <v>4933</v>
      </c>
      <c r="K407" s="7">
        <v>2338</v>
      </c>
      <c r="L407" s="7">
        <v>2521</v>
      </c>
      <c r="M407" s="7">
        <v>4750</v>
      </c>
      <c r="N407" s="7">
        <v>333</v>
      </c>
      <c r="O407" s="7">
        <v>4417</v>
      </c>
      <c r="P407" s="7">
        <v>-183</v>
      </c>
    </row>
    <row r="408" spans="1:16" x14ac:dyDescent="0.3">
      <c r="A408" s="10" t="s">
        <v>472</v>
      </c>
      <c r="B408" s="7">
        <v>2655</v>
      </c>
      <c r="C408" s="7">
        <v>2170</v>
      </c>
      <c r="D408" s="7">
        <v>564</v>
      </c>
      <c r="E408" s="7">
        <v>299</v>
      </c>
      <c r="F408" s="7">
        <v>13</v>
      </c>
      <c r="G408" s="7">
        <v>252</v>
      </c>
      <c r="H408" s="1">
        <v>5389</v>
      </c>
      <c r="I408" s="7">
        <v>604</v>
      </c>
      <c r="J408" s="7">
        <v>4785</v>
      </c>
      <c r="K408" s="7">
        <v>2539</v>
      </c>
      <c r="L408" s="7">
        <v>2502</v>
      </c>
      <c r="M408" s="7">
        <v>4822</v>
      </c>
      <c r="N408" s="7">
        <v>351</v>
      </c>
      <c r="O408" s="7">
        <v>4471</v>
      </c>
      <c r="P408" s="7">
        <v>37</v>
      </c>
    </row>
    <row r="409" spans="1:16" x14ac:dyDescent="0.3">
      <c r="A409" s="10" t="s">
        <v>473</v>
      </c>
      <c r="B409" s="7">
        <v>2159</v>
      </c>
      <c r="C409" s="7">
        <v>2121</v>
      </c>
      <c r="D409" s="7">
        <v>480</v>
      </c>
      <c r="E409" s="7">
        <v>330</v>
      </c>
      <c r="F409" s="7">
        <v>16</v>
      </c>
      <c r="G409" s="7">
        <v>134</v>
      </c>
      <c r="H409" s="1">
        <v>4760</v>
      </c>
      <c r="I409" s="7">
        <v>485</v>
      </c>
      <c r="J409" s="7">
        <v>4275</v>
      </c>
      <c r="K409" s="7">
        <v>3382</v>
      </c>
      <c r="L409" s="7">
        <v>2410</v>
      </c>
      <c r="M409" s="7">
        <v>5247</v>
      </c>
      <c r="N409" s="7">
        <v>353</v>
      </c>
      <c r="O409" s="7">
        <v>4894</v>
      </c>
      <c r="P409" s="7">
        <v>972</v>
      </c>
    </row>
    <row r="410" spans="1:16" x14ac:dyDescent="0.3">
      <c r="A410" s="10" t="s">
        <v>474</v>
      </c>
      <c r="B410" s="7">
        <v>2650</v>
      </c>
      <c r="C410" s="7">
        <v>2200</v>
      </c>
      <c r="D410" s="7">
        <v>404</v>
      </c>
      <c r="E410" s="7">
        <v>327</v>
      </c>
      <c r="F410" s="7">
        <v>17</v>
      </c>
      <c r="G410" s="7">
        <v>60</v>
      </c>
      <c r="H410" s="1">
        <v>5254</v>
      </c>
      <c r="I410" s="7">
        <v>593</v>
      </c>
      <c r="J410" s="7">
        <v>4661</v>
      </c>
      <c r="K410" s="7">
        <v>3283</v>
      </c>
      <c r="L410" s="7">
        <v>2140</v>
      </c>
      <c r="M410" s="7">
        <v>5804</v>
      </c>
      <c r="N410" s="7">
        <v>389</v>
      </c>
      <c r="O410" s="7">
        <v>5415</v>
      </c>
      <c r="P410" s="7">
        <v>1143</v>
      </c>
    </row>
    <row r="411" spans="1:16" x14ac:dyDescent="0.3">
      <c r="A411" s="10" t="s">
        <v>475</v>
      </c>
      <c r="B411" s="7">
        <v>3078</v>
      </c>
      <c r="C411" s="7">
        <v>2202</v>
      </c>
      <c r="D411" s="7">
        <v>429</v>
      </c>
      <c r="E411" s="7">
        <v>337</v>
      </c>
      <c r="F411" s="7">
        <v>16</v>
      </c>
      <c r="G411" s="7">
        <v>76</v>
      </c>
      <c r="H411" s="1">
        <v>5709</v>
      </c>
      <c r="I411" s="7">
        <v>385</v>
      </c>
      <c r="J411" s="7">
        <v>5324</v>
      </c>
      <c r="K411" s="7">
        <v>3396</v>
      </c>
      <c r="L411" s="7">
        <v>2826</v>
      </c>
      <c r="M411" s="7">
        <v>5894</v>
      </c>
      <c r="N411" s="7">
        <v>371</v>
      </c>
      <c r="O411" s="7">
        <v>5523</v>
      </c>
      <c r="P411" s="7">
        <v>570</v>
      </c>
    </row>
    <row r="412" spans="1:16" x14ac:dyDescent="0.3">
      <c r="A412" s="10" t="s">
        <v>476</v>
      </c>
      <c r="B412" s="7">
        <v>2421</v>
      </c>
      <c r="C412" s="7">
        <v>1983</v>
      </c>
      <c r="D412" s="7">
        <v>579</v>
      </c>
      <c r="E412" s="7">
        <v>338</v>
      </c>
      <c r="F412" s="7">
        <v>10</v>
      </c>
      <c r="G412" s="7">
        <v>231</v>
      </c>
      <c r="H412" s="1">
        <v>4983</v>
      </c>
      <c r="I412" s="7">
        <v>303</v>
      </c>
      <c r="J412" s="7">
        <v>4680</v>
      </c>
      <c r="K412" s="7">
        <v>3320</v>
      </c>
      <c r="L412" s="7">
        <v>2674</v>
      </c>
      <c r="M412" s="7">
        <v>5326</v>
      </c>
      <c r="N412" s="7">
        <v>375</v>
      </c>
      <c r="O412" s="7">
        <v>4951</v>
      </c>
      <c r="P412" s="7">
        <v>646</v>
      </c>
    </row>
    <row r="413" spans="1:16" x14ac:dyDescent="0.3">
      <c r="A413" s="10" t="s">
        <v>477</v>
      </c>
      <c r="B413" s="7">
        <v>2735</v>
      </c>
      <c r="C413" s="7">
        <v>2191</v>
      </c>
      <c r="D413" s="7">
        <v>684</v>
      </c>
      <c r="E413" s="7">
        <v>322</v>
      </c>
      <c r="F413" s="7">
        <v>19</v>
      </c>
      <c r="G413" s="7">
        <v>343</v>
      </c>
      <c r="H413" s="1">
        <v>5610</v>
      </c>
      <c r="I413" s="7">
        <v>355</v>
      </c>
      <c r="J413" s="7">
        <v>5255</v>
      </c>
      <c r="K413" s="7">
        <v>2684</v>
      </c>
      <c r="L413" s="7">
        <v>2410</v>
      </c>
      <c r="M413" s="7">
        <v>5529</v>
      </c>
      <c r="N413" s="7">
        <v>379</v>
      </c>
      <c r="O413" s="7">
        <v>5150</v>
      </c>
      <c r="P413" s="7">
        <v>274</v>
      </c>
    </row>
    <row r="414" spans="1:16" x14ac:dyDescent="0.3">
      <c r="A414" s="10" t="s">
        <v>478</v>
      </c>
      <c r="B414" s="7">
        <v>2391</v>
      </c>
      <c r="C414" s="7">
        <v>2119</v>
      </c>
      <c r="D414" s="7">
        <v>766</v>
      </c>
      <c r="E414" s="7">
        <v>294</v>
      </c>
      <c r="F414" s="7">
        <v>12</v>
      </c>
      <c r="G414" s="7">
        <v>460</v>
      </c>
      <c r="H414" s="1">
        <v>5276</v>
      </c>
      <c r="I414" s="7">
        <v>417</v>
      </c>
      <c r="J414" s="7">
        <v>4859</v>
      </c>
      <c r="K414" s="7">
        <v>2423</v>
      </c>
      <c r="L414" s="7">
        <v>2344</v>
      </c>
      <c r="M414" s="7">
        <v>4938</v>
      </c>
      <c r="N414" s="7">
        <v>375</v>
      </c>
      <c r="O414" s="7">
        <v>4563</v>
      </c>
      <c r="P414" s="7">
        <v>79</v>
      </c>
    </row>
    <row r="415" spans="1:16" x14ac:dyDescent="0.3">
      <c r="A415" s="10" t="s">
        <v>479</v>
      </c>
      <c r="B415" s="7">
        <v>3800</v>
      </c>
      <c r="C415" s="7">
        <v>1021</v>
      </c>
      <c r="D415" s="7">
        <v>905</v>
      </c>
      <c r="E415" s="7">
        <v>300</v>
      </c>
      <c r="F415" s="7">
        <v>10</v>
      </c>
      <c r="G415" s="7">
        <v>595</v>
      </c>
      <c r="H415" s="1">
        <v>5726</v>
      </c>
      <c r="I415" s="7">
        <v>510</v>
      </c>
      <c r="J415" s="7">
        <v>5216</v>
      </c>
      <c r="K415" s="7">
        <v>1962</v>
      </c>
      <c r="L415" s="7">
        <v>2459</v>
      </c>
      <c r="M415" s="7">
        <v>4719</v>
      </c>
      <c r="N415" s="7">
        <v>338</v>
      </c>
      <c r="O415" s="7">
        <v>4381</v>
      </c>
      <c r="P415" s="7">
        <v>-497</v>
      </c>
    </row>
    <row r="416" spans="1:16" x14ac:dyDescent="0.3">
      <c r="A416" s="10" t="s">
        <v>480</v>
      </c>
      <c r="B416" s="7">
        <v>4216</v>
      </c>
      <c r="C416" s="7">
        <v>1337</v>
      </c>
      <c r="D416" s="7">
        <v>1022</v>
      </c>
      <c r="E416" s="7">
        <v>247</v>
      </c>
      <c r="F416" s="7">
        <v>7</v>
      </c>
      <c r="G416" s="7">
        <v>768</v>
      </c>
      <c r="H416" s="1">
        <v>6575</v>
      </c>
      <c r="I416" s="7">
        <v>509</v>
      </c>
      <c r="J416" s="7">
        <v>6066</v>
      </c>
      <c r="K416" s="7">
        <v>1484</v>
      </c>
      <c r="L416" s="7">
        <v>2894</v>
      </c>
      <c r="M416" s="7">
        <v>4656</v>
      </c>
      <c r="N416" s="7">
        <v>313</v>
      </c>
      <c r="O416" s="7">
        <v>4343</v>
      </c>
      <c r="P416" s="7">
        <v>-1410</v>
      </c>
    </row>
    <row r="417" spans="1:17" x14ac:dyDescent="0.3">
      <c r="A417" s="19" t="s">
        <v>481</v>
      </c>
      <c r="B417" s="7">
        <v>4057</v>
      </c>
      <c r="C417" s="7">
        <v>2124</v>
      </c>
      <c r="D417" s="7">
        <v>992</v>
      </c>
      <c r="E417" s="7">
        <v>286</v>
      </c>
      <c r="F417" s="7">
        <v>11</v>
      </c>
      <c r="G417" s="7">
        <v>695</v>
      </c>
      <c r="H417" s="1">
        <v>7173</v>
      </c>
      <c r="I417" s="7">
        <v>653</v>
      </c>
      <c r="J417" s="7">
        <v>6520</v>
      </c>
      <c r="K417" s="7">
        <v>1545</v>
      </c>
      <c r="L417" s="7">
        <v>3497</v>
      </c>
      <c r="M417" s="7">
        <v>4568</v>
      </c>
      <c r="N417" s="7">
        <v>340</v>
      </c>
      <c r="O417" s="7">
        <v>4228</v>
      </c>
      <c r="P417" s="7">
        <v>-1952</v>
      </c>
    </row>
    <row r="418" spans="1:17" x14ac:dyDescent="0.3">
      <c r="A418" s="10" t="s">
        <v>482</v>
      </c>
      <c r="B418" s="7">
        <v>4054</v>
      </c>
      <c r="C418" s="7">
        <v>1884</v>
      </c>
      <c r="D418" s="7">
        <v>873</v>
      </c>
      <c r="E418" s="7">
        <v>269</v>
      </c>
      <c r="F418" s="7">
        <v>11</v>
      </c>
      <c r="G418" s="7">
        <v>593</v>
      </c>
      <c r="H418" s="1">
        <v>6811</v>
      </c>
      <c r="I418" s="7">
        <v>493</v>
      </c>
      <c r="J418" s="7">
        <v>6318</v>
      </c>
      <c r="K418" s="7">
        <v>1393</v>
      </c>
      <c r="L418" s="7">
        <v>3021</v>
      </c>
      <c r="M418" s="7">
        <v>4690</v>
      </c>
      <c r="N418" s="7">
        <v>346</v>
      </c>
      <c r="O418" s="7">
        <v>4344</v>
      </c>
      <c r="P418" s="7">
        <v>-1628</v>
      </c>
    </row>
    <row r="419" spans="1:17" x14ac:dyDescent="0.3">
      <c r="A419" s="10" t="s">
        <v>483</v>
      </c>
      <c r="B419" s="7">
        <v>3865</v>
      </c>
      <c r="C419" s="7">
        <v>1961</v>
      </c>
      <c r="D419" s="7">
        <v>829</v>
      </c>
      <c r="E419" s="7">
        <v>264</v>
      </c>
      <c r="F419" s="7">
        <v>8</v>
      </c>
      <c r="G419" s="7">
        <v>557</v>
      </c>
      <c r="H419" s="1">
        <v>6655</v>
      </c>
      <c r="I419" s="7">
        <v>465</v>
      </c>
      <c r="J419" s="7">
        <v>6190</v>
      </c>
      <c r="K419" s="7">
        <v>1387</v>
      </c>
      <c r="L419" s="7">
        <v>2962</v>
      </c>
      <c r="M419" s="7">
        <v>4615</v>
      </c>
      <c r="N419" s="7">
        <v>323</v>
      </c>
      <c r="O419" s="7">
        <v>4292</v>
      </c>
      <c r="P419" s="7">
        <v>-1575</v>
      </c>
    </row>
    <row r="420" spans="1:17" x14ac:dyDescent="0.3">
      <c r="A420" s="10" t="s">
        <v>484</v>
      </c>
      <c r="B420" s="7">
        <v>3185</v>
      </c>
      <c r="C420" s="7">
        <v>2180</v>
      </c>
      <c r="D420" s="7">
        <v>665</v>
      </c>
      <c r="E420" s="7">
        <v>296</v>
      </c>
      <c r="F420" s="7">
        <v>16</v>
      </c>
      <c r="G420" s="7">
        <v>353</v>
      </c>
      <c r="H420" s="1">
        <v>6030</v>
      </c>
      <c r="I420" s="7">
        <v>414</v>
      </c>
      <c r="J420" s="7">
        <v>5616</v>
      </c>
      <c r="K420" s="7">
        <v>2234</v>
      </c>
      <c r="L420" s="7">
        <v>2931</v>
      </c>
      <c r="M420" s="7">
        <v>4919</v>
      </c>
      <c r="N420" s="7">
        <v>358</v>
      </c>
      <c r="O420" s="7">
        <v>4561</v>
      </c>
      <c r="P420" s="7">
        <v>-697</v>
      </c>
    </row>
    <row r="421" spans="1:17" x14ac:dyDescent="0.3">
      <c r="A421" s="10" t="s">
        <v>485</v>
      </c>
      <c r="B421" s="7">
        <v>3727</v>
      </c>
      <c r="C421" s="7">
        <v>2126</v>
      </c>
      <c r="D421" s="7">
        <v>461</v>
      </c>
      <c r="E421" s="7">
        <v>292</v>
      </c>
      <c r="F421" s="7">
        <v>26</v>
      </c>
      <c r="G421" s="7">
        <v>143</v>
      </c>
      <c r="H421" s="1">
        <v>6314</v>
      </c>
      <c r="I421" s="7">
        <v>354</v>
      </c>
      <c r="J421" s="7">
        <v>5960</v>
      </c>
      <c r="K421" s="7">
        <v>2525</v>
      </c>
      <c r="L421" s="7">
        <v>3043</v>
      </c>
      <c r="M421" s="7">
        <v>5442</v>
      </c>
      <c r="N421" s="7">
        <v>366</v>
      </c>
      <c r="O421" s="7">
        <v>5076</v>
      </c>
      <c r="P421" s="7">
        <v>-518</v>
      </c>
    </row>
    <row r="422" spans="1:17" x14ac:dyDescent="0.3">
      <c r="A422" s="10" t="s">
        <v>486</v>
      </c>
      <c r="B422" s="7">
        <v>3251</v>
      </c>
      <c r="C422" s="7">
        <v>2206</v>
      </c>
      <c r="D422" s="7">
        <v>425</v>
      </c>
      <c r="E422" s="7">
        <v>302</v>
      </c>
      <c r="F422" s="7">
        <v>23</v>
      </c>
      <c r="G422" s="7">
        <v>100</v>
      </c>
      <c r="H422" s="1">
        <v>5882</v>
      </c>
      <c r="I422" s="7">
        <v>517</v>
      </c>
      <c r="J422" s="7">
        <v>5365</v>
      </c>
      <c r="K422" s="7">
        <v>3109</v>
      </c>
      <c r="L422" s="7">
        <v>2795</v>
      </c>
      <c r="M422" s="7">
        <v>5679</v>
      </c>
      <c r="N422" s="7">
        <v>381</v>
      </c>
      <c r="O422" s="7">
        <v>5298</v>
      </c>
      <c r="P422" s="7">
        <v>314</v>
      </c>
    </row>
    <row r="423" spans="1:17" x14ac:dyDescent="0.3">
      <c r="A423" s="10" t="s">
        <v>487</v>
      </c>
      <c r="B423" s="7">
        <v>3893</v>
      </c>
      <c r="C423" s="7">
        <v>2204</v>
      </c>
      <c r="D423" s="7">
        <v>457</v>
      </c>
      <c r="E423" s="7">
        <v>312</v>
      </c>
      <c r="F423" s="7">
        <v>22</v>
      </c>
      <c r="G423" s="7">
        <v>123</v>
      </c>
      <c r="H423" s="1">
        <v>6554</v>
      </c>
      <c r="I423" s="7">
        <v>326</v>
      </c>
      <c r="J423" s="7">
        <v>6228</v>
      </c>
      <c r="K423" s="7">
        <v>2966</v>
      </c>
      <c r="L423" s="7">
        <v>3209</v>
      </c>
      <c r="M423" s="7">
        <v>5985</v>
      </c>
      <c r="N423" s="7">
        <v>377</v>
      </c>
      <c r="O423" s="7">
        <v>5608</v>
      </c>
      <c r="P423" s="7">
        <v>-243</v>
      </c>
    </row>
    <row r="424" spans="1:17" x14ac:dyDescent="0.3">
      <c r="A424" s="10" t="s">
        <v>488</v>
      </c>
      <c r="B424" s="7">
        <v>3154</v>
      </c>
      <c r="C424" s="7">
        <v>2056</v>
      </c>
      <c r="D424" s="7">
        <v>600</v>
      </c>
      <c r="E424" s="7">
        <v>313</v>
      </c>
      <c r="F424" s="7">
        <v>17</v>
      </c>
      <c r="G424" s="7">
        <v>270</v>
      </c>
      <c r="H424" s="1">
        <v>5810</v>
      </c>
      <c r="I424" s="7">
        <v>291</v>
      </c>
      <c r="J424" s="7">
        <v>5519</v>
      </c>
      <c r="K424" s="7">
        <v>2994</v>
      </c>
      <c r="L424" s="7">
        <v>3189</v>
      </c>
      <c r="M424" s="7">
        <v>5324</v>
      </c>
      <c r="N424" s="7">
        <v>375</v>
      </c>
      <c r="O424" s="7">
        <v>4949</v>
      </c>
      <c r="P424" s="7">
        <v>-195</v>
      </c>
    </row>
    <row r="425" spans="1:17" x14ac:dyDescent="0.3">
      <c r="A425" s="10" t="s">
        <v>489</v>
      </c>
      <c r="B425" s="7">
        <v>3374</v>
      </c>
      <c r="C425" s="7">
        <v>2194</v>
      </c>
      <c r="D425" s="7">
        <v>777</v>
      </c>
      <c r="E425" s="7">
        <v>322</v>
      </c>
      <c r="F425" s="7">
        <v>15</v>
      </c>
      <c r="G425" s="7">
        <v>440</v>
      </c>
      <c r="H425" s="1">
        <v>6345</v>
      </c>
      <c r="I425" s="7">
        <v>232</v>
      </c>
      <c r="J425" s="7">
        <v>6113</v>
      </c>
      <c r="K425" s="7">
        <v>2473</v>
      </c>
      <c r="L425" s="7">
        <v>3174</v>
      </c>
      <c r="M425" s="7">
        <v>5412</v>
      </c>
      <c r="N425" s="7">
        <v>371</v>
      </c>
      <c r="O425" s="7">
        <v>5041</v>
      </c>
      <c r="P425" s="7">
        <v>-701</v>
      </c>
    </row>
    <row r="426" spans="1:17" x14ac:dyDescent="0.3">
      <c r="A426" s="10" t="s">
        <v>490</v>
      </c>
      <c r="B426" s="7">
        <v>3421</v>
      </c>
      <c r="C426" s="7">
        <v>2013</v>
      </c>
      <c r="D426" s="7">
        <v>920</v>
      </c>
      <c r="E426" s="7">
        <v>287</v>
      </c>
      <c r="F426" s="7">
        <v>18</v>
      </c>
      <c r="G426" s="7">
        <v>615</v>
      </c>
      <c r="H426" s="1">
        <v>6354</v>
      </c>
      <c r="I426" s="7">
        <v>468</v>
      </c>
      <c r="J426" s="7">
        <v>5886</v>
      </c>
      <c r="K426" s="7">
        <v>1836</v>
      </c>
      <c r="L426" s="7">
        <v>2722</v>
      </c>
      <c r="M426" s="7">
        <v>5000</v>
      </c>
      <c r="N426" s="7">
        <v>379</v>
      </c>
      <c r="O426" s="7">
        <v>4621</v>
      </c>
      <c r="P426" s="7">
        <v>-886</v>
      </c>
    </row>
    <row r="427" spans="1:17" x14ac:dyDescent="0.3">
      <c r="A427" s="10" t="s">
        <v>491</v>
      </c>
      <c r="B427" s="7">
        <v>4410</v>
      </c>
      <c r="C427" s="7">
        <v>808</v>
      </c>
      <c r="D427" s="7">
        <v>1036</v>
      </c>
      <c r="E427" s="7">
        <v>286</v>
      </c>
      <c r="F427" s="7">
        <v>10</v>
      </c>
      <c r="G427" s="7">
        <v>740</v>
      </c>
      <c r="H427" s="1">
        <v>6254</v>
      </c>
      <c r="I427" s="7">
        <v>438</v>
      </c>
      <c r="J427" s="7">
        <v>5816</v>
      </c>
      <c r="K427" s="7">
        <v>1991</v>
      </c>
      <c r="L427" s="7">
        <v>2987</v>
      </c>
      <c r="M427" s="7">
        <v>4820</v>
      </c>
      <c r="N427" s="7">
        <v>346</v>
      </c>
      <c r="O427" s="7">
        <v>4474</v>
      </c>
      <c r="P427" s="7">
        <v>-996</v>
      </c>
      <c r="Q427" s="7"/>
    </row>
    <row r="428" spans="1:17" x14ac:dyDescent="0.3">
      <c r="A428" s="10" t="s">
        <v>492</v>
      </c>
      <c r="B428" s="7">
        <v>4933</v>
      </c>
      <c r="C428" s="7">
        <v>1251</v>
      </c>
      <c r="D428" s="7">
        <v>1051</v>
      </c>
      <c r="E428" s="7">
        <v>269</v>
      </c>
      <c r="F428" s="7">
        <v>11</v>
      </c>
      <c r="G428" s="7">
        <v>771</v>
      </c>
      <c r="H428" s="1">
        <v>7235</v>
      </c>
      <c r="I428" s="7">
        <v>632</v>
      </c>
      <c r="J428" s="7">
        <v>6603</v>
      </c>
      <c r="K428" s="7">
        <v>1513</v>
      </c>
      <c r="L428" s="7">
        <v>3459</v>
      </c>
      <c r="M428" s="7">
        <v>4657</v>
      </c>
      <c r="N428" s="7">
        <v>313</v>
      </c>
      <c r="O428" s="7">
        <v>4344</v>
      </c>
      <c r="P428" s="7">
        <v>-1946</v>
      </c>
      <c r="Q428" s="7"/>
    </row>
    <row r="429" spans="1:17" x14ac:dyDescent="0.3">
      <c r="A429" s="10" t="s">
        <v>493</v>
      </c>
      <c r="B429" s="7">
        <v>5950</v>
      </c>
      <c r="C429" s="7">
        <v>2142</v>
      </c>
      <c r="D429" s="7">
        <v>1231</v>
      </c>
      <c r="E429" s="7">
        <v>303</v>
      </c>
      <c r="F429" s="7">
        <v>8</v>
      </c>
      <c r="G429" s="7">
        <v>920</v>
      </c>
      <c r="H429" s="1">
        <v>9323</v>
      </c>
      <c r="I429" s="7">
        <v>591</v>
      </c>
      <c r="J429" s="7">
        <v>8732</v>
      </c>
      <c r="K429" s="7">
        <v>981</v>
      </c>
      <c r="L429" s="7">
        <v>4977</v>
      </c>
      <c r="M429" s="7">
        <v>4736</v>
      </c>
      <c r="N429" s="7">
        <v>352</v>
      </c>
      <c r="O429" s="7">
        <v>4384</v>
      </c>
      <c r="P429" s="7">
        <v>-3996</v>
      </c>
      <c r="Q429" s="7"/>
    </row>
    <row r="430" spans="1:17" x14ac:dyDescent="0.3">
      <c r="A430" s="10" t="s">
        <v>494</v>
      </c>
      <c r="B430" s="7">
        <v>4951</v>
      </c>
      <c r="C430" s="7">
        <v>2003</v>
      </c>
      <c r="D430" s="7">
        <v>1169</v>
      </c>
      <c r="E430" s="7">
        <v>280</v>
      </c>
      <c r="F430" s="7">
        <v>7</v>
      </c>
      <c r="G430" s="7">
        <v>882</v>
      </c>
      <c r="H430" s="1">
        <v>8123</v>
      </c>
      <c r="I430" s="7">
        <v>423</v>
      </c>
      <c r="J430" s="7">
        <v>7700</v>
      </c>
      <c r="K430" s="7">
        <v>1304</v>
      </c>
      <c r="L430" s="7">
        <v>4273</v>
      </c>
      <c r="M430" s="7">
        <v>4731</v>
      </c>
      <c r="N430" s="7">
        <v>349</v>
      </c>
      <c r="O430" s="7">
        <v>4382</v>
      </c>
      <c r="P430" s="7">
        <v>-2969</v>
      </c>
      <c r="Q430" s="12"/>
    </row>
    <row r="431" spans="1:17" x14ac:dyDescent="0.3">
      <c r="A431" s="10" t="s">
        <v>495</v>
      </c>
      <c r="B431" s="7">
        <v>3511</v>
      </c>
      <c r="C431" s="7">
        <v>2067</v>
      </c>
      <c r="D431" s="7">
        <v>844</v>
      </c>
      <c r="E431" s="7">
        <v>279</v>
      </c>
      <c r="F431" s="7">
        <v>17</v>
      </c>
      <c r="G431" s="7">
        <v>548</v>
      </c>
      <c r="H431" s="1">
        <v>6422</v>
      </c>
      <c r="I431" s="7">
        <v>373</v>
      </c>
      <c r="J431" s="7">
        <v>6049</v>
      </c>
      <c r="K431" s="7">
        <v>1838</v>
      </c>
      <c r="L431" s="7">
        <v>3190</v>
      </c>
      <c r="M431" s="7">
        <v>4697</v>
      </c>
      <c r="N431" s="7">
        <v>329</v>
      </c>
      <c r="O431" s="7">
        <v>4368</v>
      </c>
      <c r="P431" s="7">
        <v>-1352</v>
      </c>
      <c r="Q431" s="12"/>
    </row>
    <row r="432" spans="1:17" x14ac:dyDescent="0.3">
      <c r="A432" s="10" t="s">
        <v>496</v>
      </c>
      <c r="B432" s="7">
        <v>4260</v>
      </c>
      <c r="C432" s="7">
        <v>1917</v>
      </c>
      <c r="D432" s="7">
        <v>650</v>
      </c>
      <c r="E432" s="7">
        <v>308</v>
      </c>
      <c r="F432" s="7">
        <v>14</v>
      </c>
      <c r="G432" s="7">
        <v>328</v>
      </c>
      <c r="H432" s="1">
        <v>6827</v>
      </c>
      <c r="I432" s="7">
        <v>397</v>
      </c>
      <c r="J432" s="7">
        <v>6430</v>
      </c>
      <c r="K432" s="7">
        <v>1717</v>
      </c>
      <c r="L432" s="7">
        <v>3155</v>
      </c>
      <c r="M432" s="7">
        <v>4992</v>
      </c>
      <c r="N432" s="7">
        <v>363</v>
      </c>
      <c r="O432" s="7">
        <v>4629</v>
      </c>
      <c r="P432" s="7">
        <v>-1438</v>
      </c>
      <c r="Q432" s="7"/>
    </row>
    <row r="433" spans="1:17" x14ac:dyDescent="0.3">
      <c r="A433" s="10" t="s">
        <v>497</v>
      </c>
      <c r="B433" s="7">
        <v>3377</v>
      </c>
      <c r="C433" s="7">
        <v>2124</v>
      </c>
      <c r="D433" s="7">
        <v>528</v>
      </c>
      <c r="E433" s="7">
        <v>316</v>
      </c>
      <c r="F433" s="7">
        <v>16</v>
      </c>
      <c r="G433" s="7">
        <v>196</v>
      </c>
      <c r="H433" s="1">
        <v>6029</v>
      </c>
      <c r="I433" s="7">
        <v>365</v>
      </c>
      <c r="J433" s="7">
        <v>5664</v>
      </c>
      <c r="K433" s="7">
        <v>2878</v>
      </c>
      <c r="L433" s="7">
        <v>3026</v>
      </c>
      <c r="M433" s="7">
        <v>5516</v>
      </c>
      <c r="N433" s="7">
        <v>371</v>
      </c>
      <c r="O433" s="7">
        <v>5145</v>
      </c>
      <c r="P433" s="7">
        <v>-148</v>
      </c>
      <c r="Q433" s="7"/>
    </row>
    <row r="434" spans="1:17" x14ac:dyDescent="0.3">
      <c r="A434" s="10" t="s">
        <v>498</v>
      </c>
      <c r="B434" s="7">
        <v>3103</v>
      </c>
      <c r="C434" s="7">
        <v>2204</v>
      </c>
      <c r="D434" s="7">
        <v>471</v>
      </c>
      <c r="E434" s="7">
        <v>327</v>
      </c>
      <c r="F434" s="7">
        <v>16</v>
      </c>
      <c r="G434" s="7">
        <v>128</v>
      </c>
      <c r="H434" s="1">
        <v>5778</v>
      </c>
      <c r="I434" s="7">
        <v>281</v>
      </c>
      <c r="J434" s="7">
        <v>5497</v>
      </c>
      <c r="K434" s="7">
        <v>3464</v>
      </c>
      <c r="L434" s="7">
        <v>2993</v>
      </c>
      <c r="M434" s="7">
        <v>5968</v>
      </c>
      <c r="N434" s="7">
        <v>401</v>
      </c>
      <c r="O434" s="7">
        <v>5567</v>
      </c>
      <c r="P434" s="7">
        <v>471</v>
      </c>
      <c r="Q434" s="7"/>
    </row>
    <row r="435" spans="1:17" x14ac:dyDescent="0.3">
      <c r="A435" s="13" t="s">
        <v>499</v>
      </c>
      <c r="B435" s="12">
        <v>3228</v>
      </c>
      <c r="C435" s="12">
        <v>2201</v>
      </c>
      <c r="D435" s="12">
        <v>570</v>
      </c>
      <c r="E435" s="12">
        <v>344</v>
      </c>
      <c r="F435" s="12">
        <v>25</v>
      </c>
      <c r="G435" s="12">
        <v>201</v>
      </c>
      <c r="H435" s="12">
        <v>5999</v>
      </c>
      <c r="I435" s="12">
        <v>282</v>
      </c>
      <c r="J435" s="12">
        <v>5717</v>
      </c>
      <c r="K435" s="12">
        <v>3195</v>
      </c>
      <c r="L435" s="12">
        <v>2813</v>
      </c>
      <c r="M435" s="12">
        <v>6099</v>
      </c>
      <c r="N435" s="12">
        <v>384</v>
      </c>
      <c r="O435" s="12">
        <v>5715</v>
      </c>
      <c r="P435" s="12">
        <v>382</v>
      </c>
      <c r="Q435" s="12" t="s">
        <v>500</v>
      </c>
    </row>
    <row r="436" spans="1:17" x14ac:dyDescent="0.3">
      <c r="A436" s="13" t="s">
        <v>501</v>
      </c>
      <c r="B436" s="12">
        <v>2654</v>
      </c>
      <c r="C436" s="12">
        <v>1970</v>
      </c>
      <c r="D436" s="12">
        <v>590</v>
      </c>
      <c r="E436" s="12">
        <v>304</v>
      </c>
      <c r="F436" s="12">
        <v>10</v>
      </c>
      <c r="G436" s="12">
        <v>276</v>
      </c>
      <c r="H436" s="12">
        <v>5214</v>
      </c>
      <c r="I436" s="12">
        <v>196</v>
      </c>
      <c r="J436" s="12">
        <v>5018</v>
      </c>
      <c r="K436" s="12">
        <v>2923</v>
      </c>
      <c r="L436" s="12">
        <v>2428</v>
      </c>
      <c r="M436" s="12">
        <v>5513</v>
      </c>
      <c r="N436" s="12">
        <v>389</v>
      </c>
      <c r="O436" s="12">
        <v>5124</v>
      </c>
      <c r="P436" s="12">
        <v>495</v>
      </c>
      <c r="Q436" s="12" t="s">
        <v>500</v>
      </c>
    </row>
    <row r="437" spans="1:17" x14ac:dyDescent="0.3">
      <c r="A437" s="13" t="s">
        <v>502</v>
      </c>
      <c r="B437" s="12">
        <v>1828</v>
      </c>
      <c r="C437" s="12">
        <v>2180</v>
      </c>
      <c r="D437" s="12">
        <v>988</v>
      </c>
      <c r="E437" s="12">
        <v>322</v>
      </c>
      <c r="F437" s="12">
        <v>10</v>
      </c>
      <c r="G437" s="12">
        <v>656</v>
      </c>
      <c r="H437" s="12">
        <v>4996</v>
      </c>
      <c r="I437" s="12">
        <v>399</v>
      </c>
      <c r="J437" s="12">
        <v>4597</v>
      </c>
      <c r="K437" s="12">
        <v>2852</v>
      </c>
      <c r="L437" s="12">
        <v>1885</v>
      </c>
      <c r="M437" s="12">
        <v>5564</v>
      </c>
      <c r="N437" s="12">
        <v>381</v>
      </c>
      <c r="O437" s="12">
        <v>5183</v>
      </c>
      <c r="P437" s="12">
        <v>967</v>
      </c>
      <c r="Q437" s="12" t="s">
        <v>500</v>
      </c>
    </row>
    <row r="438" spans="1:17" x14ac:dyDescent="0.3">
      <c r="A438" s="13" t="s">
        <v>503</v>
      </c>
      <c r="B438" s="12">
        <v>2378</v>
      </c>
      <c r="C438" s="12">
        <v>1883</v>
      </c>
      <c r="D438" s="12">
        <v>1268</v>
      </c>
      <c r="E438" s="12">
        <v>291</v>
      </c>
      <c r="F438" s="12">
        <v>11</v>
      </c>
      <c r="G438" s="12">
        <v>966</v>
      </c>
      <c r="H438" s="12">
        <v>5529</v>
      </c>
      <c r="I438" s="12">
        <v>412</v>
      </c>
      <c r="J438" s="12">
        <v>5117</v>
      </c>
      <c r="K438" s="12">
        <v>2116</v>
      </c>
      <c r="L438" s="12">
        <v>2405</v>
      </c>
      <c r="M438" s="12">
        <v>4828</v>
      </c>
      <c r="N438" s="12">
        <v>366</v>
      </c>
      <c r="O438" s="12">
        <v>4462</v>
      </c>
      <c r="P438" s="12">
        <v>-289</v>
      </c>
      <c r="Q438" s="12" t="s">
        <v>500</v>
      </c>
    </row>
    <row r="439" spans="1:17" x14ac:dyDescent="0.3">
      <c r="A439" s="13" t="s">
        <v>504</v>
      </c>
      <c r="B439" s="12">
        <v>3586</v>
      </c>
      <c r="C439" s="12">
        <v>1124</v>
      </c>
      <c r="D439" s="12">
        <v>1304</v>
      </c>
      <c r="E439" s="12">
        <v>269</v>
      </c>
      <c r="F439" s="12">
        <v>10</v>
      </c>
      <c r="G439" s="12">
        <v>1025</v>
      </c>
      <c r="H439" s="12">
        <v>6014</v>
      </c>
      <c r="I439" s="12">
        <v>535</v>
      </c>
      <c r="J439" s="12">
        <v>5479</v>
      </c>
      <c r="K439" s="12">
        <v>2003</v>
      </c>
      <c r="L439" s="12">
        <v>2649</v>
      </c>
      <c r="M439" s="12">
        <v>4833</v>
      </c>
      <c r="N439" s="12">
        <v>347</v>
      </c>
      <c r="O439" s="12">
        <v>4486</v>
      </c>
      <c r="P439" s="12">
        <v>-646</v>
      </c>
      <c r="Q439" s="12" t="s">
        <v>500</v>
      </c>
    </row>
    <row r="440" spans="1:17" x14ac:dyDescent="0.3">
      <c r="A440" s="13" t="s">
        <v>505</v>
      </c>
      <c r="B440" s="12">
        <v>4169</v>
      </c>
      <c r="C440" s="12">
        <v>1351</v>
      </c>
      <c r="D440" s="12">
        <v>1509</v>
      </c>
      <c r="E440" s="12">
        <v>291</v>
      </c>
      <c r="F440" s="12">
        <v>12</v>
      </c>
      <c r="G440" s="12">
        <v>1206</v>
      </c>
      <c r="H440" s="12">
        <v>7029</v>
      </c>
      <c r="I440" s="12">
        <v>783</v>
      </c>
      <c r="J440" s="12">
        <v>6246</v>
      </c>
      <c r="K440" s="12">
        <v>1779</v>
      </c>
      <c r="L440" s="12">
        <v>3280</v>
      </c>
      <c r="M440" s="12">
        <v>4745</v>
      </c>
      <c r="N440" s="12">
        <v>319</v>
      </c>
      <c r="O440" s="12">
        <v>4426</v>
      </c>
      <c r="P440" s="12">
        <v>-1501</v>
      </c>
      <c r="Q440" s="12" t="s">
        <v>500</v>
      </c>
    </row>
    <row r="441" spans="1:17" x14ac:dyDescent="0.3">
      <c r="A441" s="13" t="s">
        <v>506</v>
      </c>
      <c r="B441" s="12">
        <v>3839</v>
      </c>
      <c r="C441" s="12">
        <v>1140</v>
      </c>
      <c r="D441" s="12">
        <v>1398</v>
      </c>
      <c r="E441" s="12">
        <v>306</v>
      </c>
      <c r="F441" s="12">
        <v>11</v>
      </c>
      <c r="G441" s="12">
        <v>1081</v>
      </c>
      <c r="H441" s="12">
        <v>6377</v>
      </c>
      <c r="I441" s="12">
        <v>610</v>
      </c>
      <c r="J441" s="12">
        <v>5767</v>
      </c>
      <c r="K441" s="12">
        <v>2148</v>
      </c>
      <c r="L441" s="12">
        <v>3138</v>
      </c>
      <c r="M441" s="12">
        <v>4777</v>
      </c>
      <c r="N441" s="12">
        <v>355</v>
      </c>
      <c r="O441" s="12">
        <v>4422</v>
      </c>
      <c r="P441" s="12">
        <v>-990</v>
      </c>
      <c r="Q441" s="12" t="s">
        <v>500</v>
      </c>
    </row>
    <row r="442" spans="1:17" x14ac:dyDescent="0.3">
      <c r="A442" s="13" t="s">
        <v>507</v>
      </c>
      <c r="B442" s="12">
        <v>3518</v>
      </c>
      <c r="C442" s="12">
        <v>1147</v>
      </c>
      <c r="D442" s="12">
        <v>1359</v>
      </c>
      <c r="E442" s="12">
        <v>281</v>
      </c>
      <c r="F442" s="12">
        <v>8</v>
      </c>
      <c r="G442" s="12">
        <v>1070</v>
      </c>
      <c r="H442" s="12">
        <v>6024</v>
      </c>
      <c r="I442" s="12">
        <v>699</v>
      </c>
      <c r="J442" s="12">
        <v>5325</v>
      </c>
      <c r="K442" s="12">
        <v>2030</v>
      </c>
      <c r="L442" s="12">
        <v>2651</v>
      </c>
      <c r="M442" s="12">
        <v>4704</v>
      </c>
      <c r="N442" s="12">
        <v>347</v>
      </c>
      <c r="O442" s="12">
        <v>4357</v>
      </c>
      <c r="P442" s="12">
        <v>-621</v>
      </c>
      <c r="Q442" s="12" t="s">
        <v>500</v>
      </c>
    </row>
    <row r="443" spans="1:17" x14ac:dyDescent="0.3">
      <c r="A443" s="13" t="s">
        <v>508</v>
      </c>
      <c r="B443" s="12">
        <v>3627</v>
      </c>
      <c r="C443" s="12">
        <v>1117</v>
      </c>
      <c r="D443" s="12">
        <v>975</v>
      </c>
      <c r="E443" s="12">
        <v>264</v>
      </c>
      <c r="F443" s="12">
        <v>10</v>
      </c>
      <c r="G443" s="12">
        <v>701</v>
      </c>
      <c r="H443" s="12">
        <v>5719</v>
      </c>
      <c r="I443" s="12">
        <v>424</v>
      </c>
      <c r="J443" s="12">
        <v>5295</v>
      </c>
      <c r="K443" s="12">
        <v>2442</v>
      </c>
      <c r="L443" s="12">
        <v>3004</v>
      </c>
      <c r="M443" s="12">
        <v>4733</v>
      </c>
      <c r="N443" s="12">
        <v>332</v>
      </c>
      <c r="O443" s="12">
        <v>4401</v>
      </c>
      <c r="P443" s="12">
        <v>-562</v>
      </c>
      <c r="Q443" s="12" t="s">
        <v>500</v>
      </c>
    </row>
    <row r="444" spans="1:17" x14ac:dyDescent="0.3">
      <c r="A444" s="13" t="s">
        <v>509</v>
      </c>
      <c r="B444" s="12">
        <v>2977</v>
      </c>
      <c r="C444" s="12">
        <v>1407</v>
      </c>
      <c r="D444" s="12">
        <v>784</v>
      </c>
      <c r="E444" s="12">
        <v>301</v>
      </c>
      <c r="F444" s="12">
        <v>22</v>
      </c>
      <c r="G444" s="12">
        <v>461</v>
      </c>
      <c r="H444" s="12">
        <v>5168</v>
      </c>
      <c r="I444" s="12">
        <v>269</v>
      </c>
      <c r="J444" s="12">
        <v>4899</v>
      </c>
      <c r="K444" s="12">
        <v>2839</v>
      </c>
      <c r="L444" s="12">
        <v>2520</v>
      </c>
      <c r="M444" s="12">
        <v>5218</v>
      </c>
      <c r="N444" s="12">
        <v>380</v>
      </c>
      <c r="O444" s="12">
        <v>4838</v>
      </c>
      <c r="P444" s="12">
        <v>319</v>
      </c>
      <c r="Q444" s="12" t="s">
        <v>500</v>
      </c>
    </row>
    <row r="445" spans="1:17" x14ac:dyDescent="0.3">
      <c r="A445" s="13" t="s">
        <v>510</v>
      </c>
      <c r="B445" s="12">
        <v>2959</v>
      </c>
      <c r="C445" s="12">
        <v>1404</v>
      </c>
      <c r="D445" s="12">
        <v>598</v>
      </c>
      <c r="E445" s="12">
        <v>309</v>
      </c>
      <c r="F445" s="12">
        <v>14</v>
      </c>
      <c r="G445" s="12">
        <v>275</v>
      </c>
      <c r="H445" s="12">
        <v>4961</v>
      </c>
      <c r="I445" s="12">
        <v>261</v>
      </c>
      <c r="J445" s="12">
        <v>4700</v>
      </c>
      <c r="K445" s="12">
        <v>2967</v>
      </c>
      <c r="L445" s="12">
        <v>2053</v>
      </c>
      <c r="M445" s="12">
        <v>5614</v>
      </c>
      <c r="N445" s="12">
        <v>378</v>
      </c>
      <c r="O445" s="12">
        <v>5236</v>
      </c>
      <c r="P445" s="12">
        <v>914</v>
      </c>
      <c r="Q445" s="12" t="s">
        <v>500</v>
      </c>
    </row>
    <row r="446" spans="1:17" x14ac:dyDescent="0.3">
      <c r="A446" s="13" t="s">
        <v>511</v>
      </c>
      <c r="B446" s="12">
        <v>2722</v>
      </c>
      <c r="C446" s="12">
        <v>1455</v>
      </c>
      <c r="D446" s="12">
        <v>516</v>
      </c>
      <c r="E446" s="12">
        <v>333</v>
      </c>
      <c r="F446" s="12">
        <v>15</v>
      </c>
      <c r="G446" s="12">
        <v>168</v>
      </c>
      <c r="H446" s="12">
        <v>4693</v>
      </c>
      <c r="I446" s="12">
        <v>345</v>
      </c>
      <c r="J446" s="12">
        <v>4348</v>
      </c>
      <c r="K446" s="12">
        <v>3427</v>
      </c>
      <c r="L446" s="12">
        <v>1874</v>
      </c>
      <c r="M446" s="12">
        <v>5901</v>
      </c>
      <c r="N446" s="12">
        <v>396</v>
      </c>
      <c r="O446" s="12">
        <v>5505</v>
      </c>
      <c r="P446" s="12">
        <v>1553</v>
      </c>
      <c r="Q446" s="12" t="s">
        <v>500</v>
      </c>
    </row>
    <row r="447" spans="1:17" x14ac:dyDescent="0.3">
      <c r="A447" s="13" t="s">
        <v>512</v>
      </c>
      <c r="B447" s="12">
        <v>2883</v>
      </c>
      <c r="C447" s="12">
        <v>1454</v>
      </c>
      <c r="D447" s="12">
        <v>574</v>
      </c>
      <c r="E447" s="12">
        <v>350</v>
      </c>
      <c r="F447" s="12">
        <v>18</v>
      </c>
      <c r="G447" s="12">
        <v>206</v>
      </c>
      <c r="H447" s="12">
        <v>4911</v>
      </c>
      <c r="I447" s="12">
        <v>301</v>
      </c>
      <c r="J447" s="12">
        <v>4610</v>
      </c>
      <c r="K447" s="12">
        <v>3685</v>
      </c>
      <c r="L447" s="12">
        <v>1910</v>
      </c>
      <c r="M447" s="12">
        <v>6385</v>
      </c>
      <c r="N447" s="12">
        <v>402</v>
      </c>
      <c r="O447" s="12">
        <v>5983</v>
      </c>
      <c r="P447" s="12">
        <v>1775</v>
      </c>
      <c r="Q447" s="12" t="s">
        <v>500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185458-D0B7-45A8-B174-3804A91C45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Total</vt:lpstr>
      <vt:lpstr>Wetter</vt:lpstr>
      <vt:lpstr>Bevölkerung</vt:lpstr>
      <vt:lpstr>Strom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Salomon König</dc:creator>
  <cp:lastModifiedBy>Salomon König</cp:lastModifiedBy>
  <dcterms:created xsi:type="dcterms:W3CDTF">2026-04-09T11:48:22Z</dcterms:created>
  <dcterms:modified xsi:type="dcterms:W3CDTF">2026-05-26T09:03:28Z</dcterms:modified>
</cp:coreProperties>
</file>